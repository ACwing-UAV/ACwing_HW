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<sst xmlns="http://schemas.openxmlformats.org/spreadsheetml/2006/main" count="359" uniqueCount="208">
  <si>
    <t xml:space="preserve">DimaQuadESC rev B - assembly BoM (1 board)</t>
  </si>
  <si>
    <t xml:space="preserve">Source: DimaQuadESC_B.kicad_sch / DimaQuadESC_B.kicad_pcb. LCSC part numbers from the rev E FC BoM (2026-10-15/17); J1 C160407, rev B parts (Q5 AON7423 C99711, U2 STC4054GR C262930, J4 TYPE-C-31-M-12 C165948) checked 2026-10-18. D1-D4: SS34F fitted in place of STPS3L45AF (same outline).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</si>
  <si>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</si>
  <si>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</si>
  <si>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</si>
  <si>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</si>
  <si>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</si>
  <si>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</si>
  <si>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LCSC / JLCPCB #</t>
  </si>
  <si>
    <t xml:space="preserve">Package</t>
  </si>
  <si>
    <t xml:space="preserve">Description</t>
  </si>
  <si>
    <t xml:space="preserve">Side</t>
  </si>
  <si>
    <t xml:space="preserve">Notes</t>
  </si>
  <si>
    <t xml:space="preserve">C1</t>
  </si>
  <si>
    <t xml:space="preserve">470uF 6.3V polymer</t>
  </si>
  <si>
    <t xml:space="preserve">T520D477M006ATE015</t>
  </si>
  <si>
    <t xml:space="preserve">KEMET</t>
  </si>
  <si>
    <t xml:space="preserve">C696809</t>
  </si>
  <si>
    <t xml:space="preserve">7343-31 (EIA D), h 2.8 mm</t>
  </si>
  <si>
    <t xml:space="preserve">Capacitor, tantalum polymer, 470 uF, 6.3 V, 15 mOhm</t>
  </si>
  <si>
    <t xml:space="preserve">Top</t>
  </si>
  <si>
    <t xml:space="preserve">Bulk at the battery entry, + to VBAT. Low LCSC stock: any 470 uF 6.3 V 7343 polymer fits</t>
  </si>
  <si>
    <t xml:space="preserve">C2, C3, C4, C5</t>
  </si>
  <si>
    <t xml:space="preserve">10uF 10V</t>
  </si>
  <si>
    <t xml:space="preserve">CL10A106KP8NNNC</t>
  </si>
  <si>
    <t xml:space="preserve">Samsung Electro-Mechanics</t>
  </si>
  <si>
    <t xml:space="preserve">C19702</t>
  </si>
  <si>
    <t xml:space="preserve">0603 (1608 metric)</t>
  </si>
  <si>
    <t xml:space="preserve">Capacitor, MLCC, 10 uF, 10 V, X5R</t>
  </si>
  <si>
    <t xml:space="preserve">Local decoupling next to each MOSFET (hot loop)</t>
  </si>
  <si>
    <t xml:space="preserve">C6, C7</t>
  </si>
  <si>
    <t xml:space="preserve">100nF</t>
  </si>
  <si>
    <t xml:space="preserve">CL05B104KO5NNNC</t>
  </si>
  <si>
    <t xml:space="preserve">C1525</t>
  </si>
  <si>
    <t xml:space="preserve">0402 (1005 metric)</t>
  </si>
  <si>
    <t xml:space="preserve">Capacitor, MLCC, 100 nF, 16 V, X7R</t>
  </si>
  <si>
    <t xml:space="preserve">Bottom</t>
  </si>
  <si>
    <t xml:space="preserve">U1 supply (C7) and CUR filter (C6)</t>
  </si>
  <si>
    <t xml:space="preserve">C8</t>
  </si>
  <si>
    <t xml:space="preserve">1uF</t>
  </si>
  <si>
    <t xml:space="preserve">CL05A105KA5NQNC</t>
  </si>
  <si>
    <t xml:space="preserve">C52923</t>
  </si>
  <si>
    <t xml:space="preserve">Capacitor, MLCC, 1 uF, 25 V, X5R</t>
  </si>
  <si>
    <t xml:space="preserve">Charger input (VBUS)</t>
  </si>
  <si>
    <t xml:space="preserve">C9</t>
  </si>
  <si>
    <t xml:space="preserve">4.7uF 10V</t>
  </si>
  <si>
    <t xml:space="preserve">CL10A475KO8NNNC</t>
  </si>
  <si>
    <t xml:space="preserve">C19666</t>
  </si>
  <si>
    <t xml:space="preserve">Capacitor, MLCC, 4.7 uF, 16 V, X5R</t>
  </si>
  <si>
    <t xml:space="preserve">Charger output RC (with R16)</t>
  </si>
  <si>
    <t xml:space="preserve">D1, D2, D3, D4</t>
  </si>
  <si>
    <t xml:space="preserve">STPS3L45AF</t>
  </si>
  <si>
    <t xml:space="preserve">SS34F</t>
  </si>
  <si>
    <t xml:space="preserve">GOODWORK</t>
  </si>
  <si>
    <t xml:space="preserve">C908669</t>
  </si>
  <si>
    <t xml:space="preserve">SMAF (DO-221AC)</t>
  </si>
  <si>
    <t xml:space="preserve">Diode, Schottky, 40 V, 3 A, Vf 0.55 V @ 3 A</t>
  </si>
  <si>
    <t xml:space="preserve">Motor freewheel diode. Replaces STPS3L45AF (low LCSC stock), same DO-221AC outline. Cathode to VBAT</t>
  </si>
  <si>
    <t xml:space="preserve">D5</t>
  </si>
  <si>
    <t xml:space="preserve">RB521S30</t>
  </si>
  <si>
    <t xml:space="preserve">RB521S30T1G</t>
  </si>
  <si>
    <t xml:space="preserve">onsemi</t>
  </si>
  <si>
    <t xml:space="preserve">C8523</t>
  </si>
  <si>
    <t xml:space="preserve">SOD-523</t>
  </si>
  <si>
    <t xml:space="preserve">Diode, Schottky, 30 V, 200 mA</t>
  </si>
  <si>
    <t xml:space="preserve">VBUS -&gt; Q5 gate (charge switch off while charging)</t>
  </si>
  <si>
    <t xml:space="preserve">D6</t>
  </si>
  <si>
    <t xml:space="preserve">green</t>
  </si>
  <si>
    <t xml:space="preserve">XL-1005UGC</t>
  </si>
  <si>
    <t xml:space="preserve">XINGLIGHT</t>
  </si>
  <si>
    <t xml:space="preserve">C965793</t>
  </si>
  <si>
    <t xml:space="preserve">LED, green 525 nm, 0402</t>
  </si>
  <si>
    <t xml:space="preserve">Charge LED (on = charging), top side next to the charge port</t>
  </si>
  <si>
    <t xml:space="preserve">J1</t>
  </si>
  <si>
    <t xml:space="preserve">ESC link</t>
  </si>
  <si>
    <t xml:space="preserve">SM08B-SRSS-TB(LF)(SN)</t>
  </si>
  <si>
    <t xml:space="preserve">JST</t>
  </si>
  <si>
    <t xml:space="preserve">C160407</t>
  </si>
  <si>
    <t xml:space="preserve">JST SH 8P side entry, h 2.9 mm</t>
  </si>
  <si>
    <t xml:space="preserve">Connector, JST SH, 8 positions, 1.0 mm pitch, side entry</t>
  </si>
  <si>
    <t xml:space="preserve">ESC link to the FC: 1 GND, 2 VBAT, 3 CUR, 4 TLM (n.c.), 5-8 M1-M4. Mouth at the rear edge</t>
  </si>
  <si>
    <t xml:space="preserve">J4</t>
  </si>
  <si>
    <t xml:space="preserve">USB-C (HRO TYPE-C-31-M-12)</t>
  </si>
  <si>
    <t xml:space="preserve">TYPE-C-31-M-12</t>
  </si>
  <si>
    <t xml:space="preserve">HRO (Korea Hroparts)</t>
  </si>
  <si>
    <t xml:space="preserve">C165948</t>
  </si>
  <si>
    <t xml:space="preserve">USB-C receptacle, 16 pin, SMD + THT shell</t>
  </si>
  <si>
    <t xml:space="preserve">Connector, USB Type-C receptacle, top mount</t>
  </si>
  <si>
    <t xml:space="preserve">Charge port (power only), front-left chamfer</t>
  </si>
  <si>
    <t xml:space="preserve">Q1, Q2, Q3, Q4</t>
  </si>
  <si>
    <t xml:space="preserve">AON7524</t>
  </si>
  <si>
    <t xml:space="preserve">Alpha &amp; Omega Semiconductor</t>
  </si>
  <si>
    <t xml:space="preserve">C431195</t>
  </si>
  <si>
    <t xml:space="preserve">DFN 3x3 EP (DFN3x3A_8L_EP1)</t>
  </si>
  <si>
    <t xml:space="preserve">MOSFET, N-channel, 30 V, 30 A, logic level</t>
  </si>
  <si>
    <t xml:space="preserve">Low-side motor switch, one per channel. Land pattern: Vishay PowerPAK 1212-8 (check against the AOS drawing)</t>
  </si>
  <si>
    <t xml:space="preserve">Q5</t>
  </si>
  <si>
    <t xml:space="preserve">AON7423</t>
  </si>
  <si>
    <t xml:space="preserve">C99711</t>
  </si>
  <si>
    <t xml:space="preserve">DFN 3x3 EP</t>
  </si>
  <si>
    <t xml:space="preserve">MOSFET, P-channel, 20 V, 50 A, 4.9 mOhm @ -2.5 V, Vgs +-8 V</t>
  </si>
  <si>
    <t xml:space="preserve">Charge switch Q5: board supply off while the charge port is plugged in</t>
  </si>
  <si>
    <t xml:space="preserve">R1, R2, R3, R4</t>
  </si>
  <si>
    <t xml:space="preserve">22R</t>
  </si>
  <si>
    <t xml:space="preserve">0402WGF220JTCE</t>
  </si>
  <si>
    <t xml:space="preserve">UNI-ROYAL</t>
  </si>
  <si>
    <t xml:space="preserve">C25092</t>
  </si>
  <si>
    <t xml:space="preserve">Resistor, 22 Ohm, 5 %, 1/16 W</t>
  </si>
  <si>
    <t xml:space="preserve">MOSFET gate resistors</t>
  </si>
  <si>
    <t xml:space="preserve">R5, R6, R7, R8, R11</t>
  </si>
  <si>
    <t xml:space="preserve">100k</t>
  </si>
  <si>
    <t xml:space="preserve">0402WGF1003TCE</t>
  </si>
  <si>
    <t xml:space="preserve">C25741</t>
  </si>
  <si>
    <t xml:space="preserve">Resistor, 100 kOhm, 1 %, 1/16 W</t>
  </si>
  <si>
    <t xml:space="preserve">Gate pull-downs: MOSFETs off with the cable unplugged or the FC booting (R5-R8); Q5 gate pull-down (R11)</t>
  </si>
  <si>
    <t xml:space="preserve">R9</t>
  </si>
  <si>
    <t xml:space="preserve">2m</t>
  </si>
  <si>
    <t xml:space="preserve">RLM12FTCMR002</t>
  </si>
  <si>
    <t xml:space="preserve">TA-I Tech</t>
  </si>
  <si>
    <t xml:space="preserve">C710257</t>
  </si>
  <si>
    <t xml:space="preserve">1206 (3216 metric)</t>
  </si>
  <si>
    <t xml:space="preserve">Resistor, current sense, 2 mOhm, 1 %, 1 W</t>
  </si>
  <si>
    <t xml:space="preserve">Battery shunt, bottom side, Kelvin-connected to U1</t>
  </si>
  <si>
    <t xml:space="preserve">R10, R15</t>
  </si>
  <si>
    <t xml:space="preserve">1k</t>
  </si>
  <si>
    <t xml:space="preserve">0402WGF1001TCE</t>
  </si>
  <si>
    <t xml:space="preserve">C11702</t>
  </si>
  <si>
    <t xml:space="preserve">Resistor, 1 kOhm, 1 %, 1/16 W</t>
  </si>
  <si>
    <t xml:space="preserve">CUR filter (1k / 100 nF, 1.6 kHz) (R10); charge LED (R15)</t>
  </si>
  <si>
    <t xml:space="preserve">R12, R13</t>
  </si>
  <si>
    <t xml:space="preserve">5.1k</t>
  </si>
  <si>
    <t xml:space="preserve">0402WGF5101TCE</t>
  </si>
  <si>
    <t xml:space="preserve">C25905</t>
  </si>
  <si>
    <t xml:space="preserve">Resistor, 5.1 kOhm, 1 %, 1/16 W</t>
  </si>
  <si>
    <t xml:space="preserve">USB-C CC pull-downs (sink)</t>
  </si>
  <si>
    <t xml:space="preserve">R14</t>
  </si>
  <si>
    <t xml:space="preserve">2.2k 1%</t>
  </si>
  <si>
    <t xml:space="preserve">0402WGF2201TCE</t>
  </si>
  <si>
    <t xml:space="preserve">C25879</t>
  </si>
  <si>
    <t xml:space="preserve">Resistor, 2.2 kOhm, 1 %, 1/16 W</t>
  </si>
  <si>
    <t xml:space="preserve">Charger R_PROG: 455 mA</t>
  </si>
  <si>
    <t xml:space="preserve">R16</t>
  </si>
  <si>
    <t xml:space="preserve">1R</t>
  </si>
  <si>
    <t xml:space="preserve">FRC0402F1R00TS</t>
  </si>
  <si>
    <t xml:space="preserve">FOJAN</t>
  </si>
  <si>
    <t xml:space="preserve">C2909329</t>
  </si>
  <si>
    <t xml:space="preserve">Resistor, 1 Ohm, 1 %, 1/16 W</t>
  </si>
  <si>
    <t xml:space="preserve">Charger output RC (with C9)</t>
  </si>
  <si>
    <t xml:space="preserve">U1</t>
  </si>
  <si>
    <t xml:space="preserve">TSC213</t>
  </si>
  <si>
    <t xml:space="preserve">TSC213ICT</t>
  </si>
  <si>
    <t xml:space="preserve">STMicroelectronics</t>
  </si>
  <si>
    <t xml:space="preserve">C1858319</t>
  </si>
  <si>
    <t xml:space="preserve">SC70-6 (SOT-363)</t>
  </si>
  <si>
    <t xml:space="preserve">Current-sense amplifier, gain 50 V/V, zero drift</t>
  </si>
  <si>
    <t xml:space="preserve">Battery current: CUR = 0.1 V/A on J1 pin 3</t>
  </si>
  <si>
    <t xml:space="preserve">U2</t>
  </si>
  <si>
    <t xml:space="preserve">STC4054GR</t>
  </si>
  <si>
    <t xml:space="preserve">C262930</t>
  </si>
  <si>
    <t xml:space="preserve">TSOT-23-5</t>
  </si>
  <si>
    <t xml:space="preserve">Li-ion linear charger, 4.2 V, up to 800 mA</t>
  </si>
  <si>
    <t xml:space="preserve">1S charger, 455 mA (R14 2.2k)</t>
  </si>
  <si>
    <t xml:space="preserve">Total</t>
  </si>
  <si>
    <t xml:space="preserve">Total placements (assembled parts)</t>
  </si>
  <si>
    <t xml:space="preserve">-</t>
  </si>
  <si>
    <t xml:space="preserve">line items</t>
  </si>
  <si>
    <t xml:space="preserve">Not-assembled items listed below</t>
  </si>
  <si>
    <t xml:space="preserve">Not assembled (PCB features / DNP)</t>
  </si>
  <si>
    <t xml:space="preserve">NA1</t>
  </si>
  <si>
    <t xml:space="preserve">H1, H2, H3, H4</t>
  </si>
  <si>
    <t xml:space="preserve">M2</t>
  </si>
  <si>
    <t xml:space="preserve">N/A (PCB feature)</t>
  </si>
  <si>
    <t xml:space="preserve">N/A</t>
  </si>
  <si>
    <t xml:space="preserve">NPTH 2.2 mm</t>
  </si>
  <si>
    <t xml:space="preserve">Mounting hole, M2, 20 x 20 pattern</t>
  </si>
  <si>
    <t xml:space="preserve">Hard mount to the frame bosses; keep-out r 2.6 mm on both sides</t>
  </si>
  <si>
    <t xml:space="preserve">NA2</t>
  </si>
  <si>
    <t xml:space="preserve">M1, M2, M3, M4</t>
  </si>
  <si>
    <t xml:space="preserve">coreless 8520</t>
  </si>
  <si>
    <t xml:space="preserve">MotorPads_1x02_SMD</t>
  </si>
  <si>
    <t xml:space="preserve">Motor lead solder pads (8.5 x 20 mm coreless brushed motors, 3.7 V)</t>
  </si>
  <si>
    <t xml:space="preserve">Soldered by hand; "+" pad (silk mark) to the red/blue lead. M1/M4 CW, M2/M3 CCW</t>
  </si>
  <si>
    <t xml:space="preserve">NA3</t>
  </si>
  <si>
    <t xml:space="preserve">J2</t>
  </si>
  <si>
    <t xml:space="preserve">BATT 1S</t>
  </si>
  <si>
    <t xml:space="preserve">BattPads_1x02_SMD</t>
  </si>
  <si>
    <t xml:space="preserve">Battery lead solder pads, 1S LiPo, AWG 22-24</t>
  </si>
  <si>
    <t xml:space="preserve">Rear corner; "+" silk mark on the VBAT pad</t>
  </si>
  <si>
    <t xml:space="preserve">NA4</t>
  </si>
  <si>
    <t xml:space="preserve">- (soldered to J2)</t>
  </si>
  <si>
    <t xml:space="preserve">JST PH 2.0 pigtail</t>
  </si>
  <si>
    <t xml:space="preserve">PH 2.0 male lead, 30-40 mm, 24 AWG (any brand)</t>
  </si>
  <si>
    <t xml:space="preserve">off-board</t>
  </si>
  <si>
    <t xml:space="preserve">Battery plug pigtail soldered to J2 (rated 2 A)</t>
  </si>
  <si>
    <t xml:space="preserve">Hand-soldered: red to +. Match the polarity of the battery plug (not standardised)</t>
  </si>
  <si>
    <t xml:space="preserve">DimaQuadESC rev B - component costing (assembled parts, USD)</t>
  </si>
  <si>
    <t xml:space="preserve">Blue = input prices; black = formulas. "Estimate" rows are typical distributor prices, not quotes. PCB (4 layers), assembly fees, motors and the 8-pin cable are not included.</t>
  </si>
  <si>
    <t xml:space="preserve">References</t>
  </si>
  <si>
    <t xml:space="preserve">Qty / board</t>
  </si>
  <si>
    <t xml:space="preserve">Source</t>
  </si>
  <si>
    <t xml:space="preserve">Unit price @10 boards</t>
  </si>
  <si>
    <t xml:space="preserve">Unit price @100 boards</t>
  </si>
  <si>
    <t xml:space="preserve">Cost / board @10</t>
  </si>
  <si>
    <t xml:space="preserve">Cost / board @100</t>
  </si>
  <si>
    <t xml:space="preserve">Price basis</t>
  </si>
  <si>
    <t xml:space="preserve">LCSC quote</t>
  </si>
  <si>
    <t xml:space="preserve">Estimate</t>
  </si>
  <si>
    <t xml:space="preserve">Total per board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</si>
</sst>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0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171.6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564.9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85" hidden="false" customHeight="false" outlineLevel="0" collapsed="false">
      <c r="A5" s="5" t="n">
        <v>1</v>
      </c>
      <c r="B5" s="5" t="n">
        <v>1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</row>
    <row r="6" customFormat="false" ht="23.85" hidden="false" customHeight="false" outlineLevel="0" collapsed="false">
      <c r="A6" s="5" t="n">
        <v>2</v>
      </c>
      <c r="B6" s="5" t="n">
        <v>4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  <c r="J6" s="5" t="s">
        <v>20</v>
      </c>
      <c r="K6" s="5" t="s">
        <v>29</v>
      </c>
    </row>
    <row r="7" customFormat="false" ht="23.85" hidden="false" customHeight="false" outlineLevel="0" collapsed="false">
      <c r="A7" s="5" t="n">
        <v>3</v>
      </c>
      <c r="B7" s="5" t="n">
        <v>2</v>
      </c>
      <c r="C7" s="5" t="s">
        <v>30</v>
      </c>
      <c r="D7" s="5" t="s">
        <v>31</v>
      </c>
      <c r="E7" s="5" t="s">
        <v>32</v>
      </c>
      <c r="F7" s="5" t="s">
        <v>25</v>
      </c>
      <c r="G7" s="5" t="s">
        <v>33</v>
      </c>
      <c r="H7" s="5" t="s">
        <v>34</v>
      </c>
      <c r="I7" s="5" t="s">
        <v>35</v>
      </c>
      <c r="J7" s="5" t="s">
        <v>36</v>
      </c>
      <c r="K7" s="5" t="s">
        <v>37</v>
      </c>
    </row>
    <row r="8" customFormat="false" ht="23.85" hidden="false" customHeight="false" outlineLevel="0" collapsed="false">
      <c r="A8" s="5" t="n">
        <v>4</v>
      </c>
      <c r="B8" s="5" t="n">
        <v>1</v>
      </c>
      <c r="C8" s="5" t="s">
        <v>38</v>
      </c>
      <c r="D8" s="5" t="s">
        <v>39</v>
      </c>
      <c r="E8" s="5" t="s">
        <v>40</v>
      </c>
      <c r="F8" s="5" t="s">
        <v>25</v>
      </c>
      <c r="G8" s="5" t="s">
        <v>41</v>
      </c>
      <c r="H8" s="5" t="s">
        <v>34</v>
      </c>
      <c r="I8" s="5" t="s">
        <v>42</v>
      </c>
      <c r="J8" s="5" t="s">
        <v>20</v>
      </c>
      <c r="K8" s="5" t="s">
        <v>43</v>
      </c>
    </row>
    <row r="9" customFormat="false" ht="23.85" hidden="false" customHeight="false" outlineLevel="0" collapsed="false">
      <c r="A9" s="5" t="n">
        <v>5</v>
      </c>
      <c r="B9" s="5" t="n">
        <v>1</v>
      </c>
      <c r="C9" s="5" t="s">
        <v>44</v>
      </c>
      <c r="D9" s="5" t="s">
        <v>45</v>
      </c>
      <c r="E9" s="5" t="s">
        <v>46</v>
      </c>
      <c r="F9" s="5" t="s">
        <v>25</v>
      </c>
      <c r="G9" s="5" t="s">
        <v>47</v>
      </c>
      <c r="H9" s="5" t="s">
        <v>27</v>
      </c>
      <c r="I9" s="5" t="s">
        <v>48</v>
      </c>
      <c r="J9" s="5" t="s">
        <v>20</v>
      </c>
      <c r="K9" s="5" t="s">
        <v>49</v>
      </c>
    </row>
    <row r="10" customFormat="false" ht="23.85" hidden="false" customHeight="false" outlineLevel="0" collapsed="false">
      <c r="A10" s="5" t="n">
        <v>6</v>
      </c>
      <c r="B10" s="5" t="n">
        <v>4</v>
      </c>
      <c r="C10" s="5" t="s">
        <v>50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5" t="s">
        <v>56</v>
      </c>
      <c r="J10" s="5" t="s">
        <v>20</v>
      </c>
      <c r="K10" s="5" t="s">
        <v>57</v>
      </c>
    </row>
    <row r="11" customFormat="false" ht="15" hidden="false" customHeight="false" outlineLevel="0" collapsed="false">
      <c r="A11" s="5" t="n">
        <v>7</v>
      </c>
      <c r="B11" s="5" t="n">
        <v>1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5" t="s">
        <v>63</v>
      </c>
      <c r="I11" s="5" t="s">
        <v>64</v>
      </c>
      <c r="J11" s="5" t="s">
        <v>20</v>
      </c>
      <c r="K11" s="5" t="s">
        <v>65</v>
      </c>
    </row>
    <row r="12" customFormat="false" ht="15" hidden="false" customHeight="false" outlineLevel="0" collapsed="false">
      <c r="A12" s="5" t="n">
        <v>8</v>
      </c>
      <c r="B12" s="5" t="n">
        <v>1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34</v>
      </c>
      <c r="I12" s="5" t="s">
        <v>71</v>
      </c>
      <c r="J12" s="5" t="s">
        <v>20</v>
      </c>
      <c r="K12" s="5" t="s">
        <v>72</v>
      </c>
    </row>
    <row r="13" customFormat="false" ht="23.85" hidden="false" customHeight="false" outlineLevel="0" collapsed="false">
      <c r="A13" s="5" t="n">
        <v>9</v>
      </c>
      <c r="B13" s="5" t="n">
        <v>1</v>
      </c>
      <c r="C13" s="5" t="s">
        <v>73</v>
      </c>
      <c r="D13" s="5" t="s">
        <v>74</v>
      </c>
      <c r="E13" s="5" t="s">
        <v>75</v>
      </c>
      <c r="F13" s="5" t="s">
        <v>76</v>
      </c>
      <c r="G13" s="5" t="s">
        <v>77</v>
      </c>
      <c r="H13" s="5" t="s">
        <v>78</v>
      </c>
      <c r="I13" s="5" t="s">
        <v>79</v>
      </c>
      <c r="J13" s="5" t="s">
        <v>20</v>
      </c>
      <c r="K13" s="5" t="s">
        <v>80</v>
      </c>
    </row>
    <row r="14" customFormat="false" ht="35.05" hidden="false" customHeight="false" outlineLevel="0" collapsed="false">
      <c r="A14" s="5" t="n">
        <v>10</v>
      </c>
      <c r="B14" s="5" t="n">
        <v>1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85</v>
      </c>
      <c r="H14" s="5" t="s">
        <v>86</v>
      </c>
      <c r="I14" s="5" t="s">
        <v>87</v>
      </c>
      <c r="J14" s="5" t="s">
        <v>20</v>
      </c>
      <c r="K14" s="5" t="s">
        <v>88</v>
      </c>
    </row>
    <row r="15" customFormat="false" ht="23.85" hidden="false" customHeight="false" outlineLevel="0" collapsed="false">
      <c r="A15" s="5" t="n">
        <v>11</v>
      </c>
      <c r="B15" s="5" t="n">
        <v>4</v>
      </c>
      <c r="C15" s="5" t="s">
        <v>89</v>
      </c>
      <c r="D15" s="5" t="s">
        <v>90</v>
      </c>
      <c r="E15" s="5" t="s">
        <v>90</v>
      </c>
      <c r="F15" s="5" t="s">
        <v>91</v>
      </c>
      <c r="G15" s="5" t="s">
        <v>92</v>
      </c>
      <c r="H15" s="5" t="s">
        <v>93</v>
      </c>
      <c r="I15" s="5" t="s">
        <v>94</v>
      </c>
      <c r="J15" s="5" t="s">
        <v>20</v>
      </c>
      <c r="K15" s="5" t="s">
        <v>95</v>
      </c>
    </row>
    <row r="16" customFormat="false" ht="23.85" hidden="false" customHeight="false" outlineLevel="0" collapsed="false">
      <c r="A16" s="5" t="n">
        <v>12</v>
      </c>
      <c r="B16" s="5" t="n">
        <v>1</v>
      </c>
      <c r="C16" s="5" t="s">
        <v>96</v>
      </c>
      <c r="D16" s="5" t="s">
        <v>97</v>
      </c>
      <c r="E16" s="5" t="s">
        <v>97</v>
      </c>
      <c r="F16" s="5" t="s">
        <v>91</v>
      </c>
      <c r="G16" s="5" t="s">
        <v>98</v>
      </c>
      <c r="H16" s="5" t="s">
        <v>99</v>
      </c>
      <c r="I16" s="5" t="s">
        <v>100</v>
      </c>
      <c r="J16" s="5" t="s">
        <v>20</v>
      </c>
      <c r="K16" s="5" t="s">
        <v>101</v>
      </c>
    </row>
    <row r="17" customFormat="false" ht="15" hidden="false" customHeight="false" outlineLevel="0" collapsed="false">
      <c r="A17" s="5" t="n">
        <v>13</v>
      </c>
      <c r="B17" s="5" t="n">
        <v>4</v>
      </c>
      <c r="C17" s="5" t="s">
        <v>102</v>
      </c>
      <c r="D17" s="5" t="s">
        <v>103</v>
      </c>
      <c r="E17" s="5" t="s">
        <v>104</v>
      </c>
      <c r="F17" s="5" t="s">
        <v>105</v>
      </c>
      <c r="G17" s="5" t="s">
        <v>106</v>
      </c>
      <c r="H17" s="5" t="s">
        <v>34</v>
      </c>
      <c r="I17" s="5" t="s">
        <v>107</v>
      </c>
      <c r="J17" s="5" t="s">
        <v>20</v>
      </c>
      <c r="K17" s="5" t="s">
        <v>108</v>
      </c>
    </row>
    <row r="18" customFormat="false" ht="23.85" hidden="false" customHeight="false" outlineLevel="0" collapsed="false">
      <c r="A18" s="5" t="n">
        <v>14</v>
      </c>
      <c r="B18" s="5" t="n">
        <v>5</v>
      </c>
      <c r="C18" s="5" t="s">
        <v>109</v>
      </c>
      <c r="D18" s="5" t="s">
        <v>110</v>
      </c>
      <c r="E18" s="5" t="s">
        <v>111</v>
      </c>
      <c r="F18" s="5" t="s">
        <v>105</v>
      </c>
      <c r="G18" s="5" t="s">
        <v>112</v>
      </c>
      <c r="H18" s="5" t="s">
        <v>34</v>
      </c>
      <c r="I18" s="5" t="s">
        <v>113</v>
      </c>
      <c r="J18" s="5" t="s">
        <v>20</v>
      </c>
      <c r="K18" s="5" t="s">
        <v>114</v>
      </c>
    </row>
    <row r="19" customFormat="false" ht="15" hidden="false" customHeight="false" outlineLevel="0" collapsed="false">
      <c r="A19" s="5" t="n">
        <v>15</v>
      </c>
      <c r="B19" s="5" t="n">
        <v>1</v>
      </c>
      <c r="C19" s="5" t="s">
        <v>115</v>
      </c>
      <c r="D19" s="5" t="s">
        <v>116</v>
      </c>
      <c r="E19" s="5" t="s">
        <v>117</v>
      </c>
      <c r="F19" s="5" t="s">
        <v>118</v>
      </c>
      <c r="G19" s="5" t="s">
        <v>119</v>
      </c>
      <c r="H19" s="5" t="s">
        <v>120</v>
      </c>
      <c r="I19" s="5" t="s">
        <v>121</v>
      </c>
      <c r="J19" s="5" t="s">
        <v>36</v>
      </c>
      <c r="K19" s="5" t="s">
        <v>122</v>
      </c>
    </row>
    <row r="20" customFormat="false" ht="15" hidden="false" customHeight="false" outlineLevel="0" collapsed="false">
      <c r="A20" s="5" t="n">
        <v>16</v>
      </c>
      <c r="B20" s="5" t="n">
        <v>2</v>
      </c>
      <c r="C20" s="5" t="s">
        <v>123</v>
      </c>
      <c r="D20" s="5" t="s">
        <v>124</v>
      </c>
      <c r="E20" s="5" t="s">
        <v>125</v>
      </c>
      <c r="F20" s="5" t="s">
        <v>105</v>
      </c>
      <c r="G20" s="5" t="s">
        <v>126</v>
      </c>
      <c r="H20" s="5" t="s">
        <v>34</v>
      </c>
      <c r="I20" s="5" t="s">
        <v>127</v>
      </c>
      <c r="J20" s="5" t="s">
        <v>36</v>
      </c>
      <c r="K20" s="5" t="s">
        <v>128</v>
      </c>
    </row>
    <row r="21" customFormat="false" ht="15" hidden="false" customHeight="false" outlineLevel="0" collapsed="false">
      <c r="A21" s="5" t="n">
        <v>17</v>
      </c>
      <c r="B21" s="5" t="n">
        <v>2</v>
      </c>
      <c r="C21" s="5" t="s">
        <v>129</v>
      </c>
      <c r="D21" s="5" t="s">
        <v>130</v>
      </c>
      <c r="E21" s="5" t="s">
        <v>131</v>
      </c>
      <c r="F21" s="5" t="s">
        <v>105</v>
      </c>
      <c r="G21" s="5" t="s">
        <v>132</v>
      </c>
      <c r="H21" s="5" t="s">
        <v>34</v>
      </c>
      <c r="I21" s="5" t="s">
        <v>133</v>
      </c>
      <c r="J21" s="5" t="s">
        <v>36</v>
      </c>
      <c r="K21" s="5" t="s">
        <v>134</v>
      </c>
    </row>
    <row r="22" customFormat="false" ht="15" hidden="false" customHeight="false" outlineLevel="0" collapsed="false">
      <c r="A22" s="5" t="n">
        <v>18</v>
      </c>
      <c r="B22" s="5" t="n">
        <v>1</v>
      </c>
      <c r="C22" s="5" t="s">
        <v>135</v>
      </c>
      <c r="D22" s="5" t="s">
        <v>136</v>
      </c>
      <c r="E22" s="5" t="s">
        <v>137</v>
      </c>
      <c r="F22" s="5" t="s">
        <v>105</v>
      </c>
      <c r="G22" s="5" t="s">
        <v>138</v>
      </c>
      <c r="H22" s="5" t="s">
        <v>34</v>
      </c>
      <c r="I22" s="5" t="s">
        <v>139</v>
      </c>
      <c r="J22" s="5" t="s">
        <v>36</v>
      </c>
      <c r="K22" s="5" t="s">
        <v>140</v>
      </c>
    </row>
    <row r="23" customFormat="false" ht="15" hidden="false" customHeight="false" outlineLevel="0" collapsed="false">
      <c r="A23" s="5" t="n">
        <v>19</v>
      </c>
      <c r="B23" s="5" t="n">
        <v>1</v>
      </c>
      <c r="C23" s="5" t="s">
        <v>141</v>
      </c>
      <c r="D23" s="5" t="s">
        <v>142</v>
      </c>
      <c r="E23" s="5" t="s">
        <v>143</v>
      </c>
      <c r="F23" s="5" t="s">
        <v>144</v>
      </c>
      <c r="G23" s="5" t="s">
        <v>145</v>
      </c>
      <c r="H23" s="5" t="s">
        <v>34</v>
      </c>
      <c r="I23" s="5" t="s">
        <v>146</v>
      </c>
      <c r="J23" s="5" t="s">
        <v>36</v>
      </c>
      <c r="K23" s="5" t="s">
        <v>147</v>
      </c>
    </row>
    <row r="24" customFormat="false" ht="15" hidden="false" customHeight="false" outlineLevel="0" collapsed="false">
      <c r="A24" s="5" t="n">
        <v>20</v>
      </c>
      <c r="B24" s="5" t="n">
        <v>1</v>
      </c>
      <c r="C24" s="5" t="s">
        <v>148</v>
      </c>
      <c r="D24" s="5" t="s">
        <v>149</v>
      </c>
      <c r="E24" s="5" t="s">
        <v>150</v>
      </c>
      <c r="F24" s="5" t="s">
        <v>151</v>
      </c>
      <c r="G24" s="5" t="s">
        <v>152</v>
      </c>
      <c r="H24" s="5" t="s">
        <v>153</v>
      </c>
      <c r="I24" s="5" t="s">
        <v>154</v>
      </c>
      <c r="J24" s="5" t="s">
        <v>36</v>
      </c>
      <c r="K24" s="5" t="s">
        <v>155</v>
      </c>
    </row>
    <row r="25" customFormat="false" ht="15" hidden="false" customHeight="false" outlineLevel="0" collapsed="false">
      <c r="A25" s="5" t="n">
        <v>21</v>
      </c>
      <c r="B25" s="5" t="n">
        <v>1</v>
      </c>
      <c r="C25" s="5" t="s">
        <v>156</v>
      </c>
      <c r="D25" s="5" t="s">
        <v>157</v>
      </c>
      <c r="E25" s="5" t="s">
        <v>157</v>
      </c>
      <c r="F25" s="5" t="s">
        <v>151</v>
      </c>
      <c r="G25" s="5" t="s">
        <v>158</v>
      </c>
      <c r="H25" s="5" t="s">
        <v>159</v>
      </c>
      <c r="I25" s="5" t="s">
        <v>160</v>
      </c>
      <c r="J25" s="5" t="s">
        <v>20</v>
      </c>
      <c r="K25" s="5" t="s">
        <v>161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23.85" hidden="false" customHeight="false" outlineLevel="0" collapsed="false">
      <c r="A27" s="6" t="s">
        <v>162</v>
      </c>
      <c r="B27" s="6" t="n">
        <f aca="false">SUM(B5:B25)</f>
        <v>40</v>
      </c>
      <c r="C27" s="6" t="s">
        <v>163</v>
      </c>
      <c r="D27" s="6" t="s">
        <v>164</v>
      </c>
      <c r="E27" s="6" t="n">
        <f aca="false">COUNTA(E5:E25)</f>
        <v>21</v>
      </c>
      <c r="F27" s="6" t="s">
        <v>165</v>
      </c>
      <c r="G27" s="6" t="s">
        <v>164</v>
      </c>
      <c r="H27" s="6" t="s">
        <v>164</v>
      </c>
      <c r="I27" s="6" t="s">
        <v>164</v>
      </c>
      <c r="J27" s="6" t="s">
        <v>164</v>
      </c>
      <c r="K27" s="6" t="s">
        <v>166</v>
      </c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02.95" hidden="false" customHeight="false" outlineLevel="0" collapsed="false">
      <c r="A29" s="7" t="s">
        <v>167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4" t="s">
        <v>2</v>
      </c>
      <c r="B30" s="4" t="s">
        <v>3</v>
      </c>
      <c r="C30" s="4" t="s">
        <v>4</v>
      </c>
      <c r="D30" s="4" t="s">
        <v>5</v>
      </c>
      <c r="E30" s="4" t="s">
        <v>6</v>
      </c>
      <c r="F30" s="4" t="s">
        <v>7</v>
      </c>
      <c r="G30" s="4" t="s">
        <v>8</v>
      </c>
      <c r="H30" s="4" t="s">
        <v>9</v>
      </c>
      <c r="I30" s="4" t="s">
        <v>10</v>
      </c>
      <c r="J30" s="4" t="s">
        <v>11</v>
      </c>
      <c r="K30" s="4" t="s">
        <v>12</v>
      </c>
    </row>
    <row r="31" customFormat="false" ht="15" hidden="false" customHeight="false" outlineLevel="0" collapsed="false">
      <c r="A31" s="5" t="s">
        <v>168</v>
      </c>
      <c r="B31" s="5" t="n">
        <v>4</v>
      </c>
      <c r="C31" s="5" t="s">
        <v>169</v>
      </c>
      <c r="D31" s="5" t="s">
        <v>170</v>
      </c>
      <c r="E31" s="5" t="s">
        <v>171</v>
      </c>
      <c r="F31" s="5" t="s">
        <v>172</v>
      </c>
      <c r="G31" s="5" t="s">
        <v>172</v>
      </c>
      <c r="H31" s="5" t="s">
        <v>173</v>
      </c>
      <c r="I31" s="5" t="s">
        <v>174</v>
      </c>
      <c r="J31" s="5" t="s">
        <v>20</v>
      </c>
      <c r="K31" s="5" t="s">
        <v>175</v>
      </c>
    </row>
    <row r="32" customFormat="false" ht="23.85" hidden="false" customHeight="false" outlineLevel="0" collapsed="false">
      <c r="A32" s="5" t="s">
        <v>176</v>
      </c>
      <c r="B32" s="5" t="n">
        <v>4</v>
      </c>
      <c r="C32" s="5" t="s">
        <v>177</v>
      </c>
      <c r="D32" s="5" t="s">
        <v>178</v>
      </c>
      <c r="E32" s="5" t="s">
        <v>171</v>
      </c>
      <c r="F32" s="5" t="s">
        <v>172</v>
      </c>
      <c r="G32" s="5" t="s">
        <v>172</v>
      </c>
      <c r="H32" s="5" t="s">
        <v>179</v>
      </c>
      <c r="I32" s="5" t="s">
        <v>180</v>
      </c>
      <c r="J32" s="5" t="s">
        <v>20</v>
      </c>
      <c r="K32" s="5" t="s">
        <v>181</v>
      </c>
    </row>
    <row r="33" customFormat="false" ht="15" hidden="false" customHeight="false" outlineLevel="0" collapsed="false">
      <c r="A33" s="5" t="s">
        <v>182</v>
      </c>
      <c r="B33" s="5" t="n">
        <v>1</v>
      </c>
      <c r="C33" s="5" t="s">
        <v>183</v>
      </c>
      <c r="D33" s="5" t="s">
        <v>184</v>
      </c>
      <c r="E33" s="5" t="s">
        <v>171</v>
      </c>
      <c r="F33" s="5" t="s">
        <v>172</v>
      </c>
      <c r="G33" s="5" t="s">
        <v>172</v>
      </c>
      <c r="H33" s="5" t="s">
        <v>185</v>
      </c>
      <c r="I33" s="5" t="s">
        <v>186</v>
      </c>
      <c r="J33" s="5" t="s">
        <v>20</v>
      </c>
      <c r="K33" s="5" t="s">
        <v>187</v>
      </c>
    </row>
    <row r="34" customFormat="false" ht="23.85" hidden="false" customHeight="false" outlineLevel="0" collapsed="false">
      <c r="A34" s="5" t="s">
        <v>188</v>
      </c>
      <c r="B34" s="5" t="n">
        <v>1</v>
      </c>
      <c r="C34" s="5" t="s">
        <v>189</v>
      </c>
      <c r="D34" s="5" t="s">
        <v>190</v>
      </c>
      <c r="E34" s="5" t="s">
        <v>191</v>
      </c>
      <c r="F34" s="5" t="s">
        <v>172</v>
      </c>
      <c r="G34" s="5" t="s">
        <v>172</v>
      </c>
      <c r="H34" s="5" t="s">
        <v>192</v>
      </c>
      <c r="I34" s="5" t="s">
        <v>193</v>
      </c>
      <c r="J34" s="5" t="s">
        <v>20</v>
      </c>
      <c r="K34" s="5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4"/>
    <col collapsed="false" customWidth="true" hidden="false" outlineLevel="0" max="6" min="5" style="0" width="13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72.35" hidden="false" customHeight="false" outlineLevel="0" collapsed="false">
      <c r="A1" s="1" t="s">
        <v>195</v>
      </c>
      <c r="B1" s="2"/>
      <c r="C1" s="2"/>
      <c r="D1" s="2"/>
      <c r="E1" s="2"/>
      <c r="F1" s="2"/>
      <c r="G1" s="2"/>
      <c r="H1" s="2"/>
      <c r="I1" s="2"/>
    </row>
    <row r="2" customFormat="false" ht="74.6" hidden="false" customHeight="false" outlineLevel="0" collapsed="false">
      <c r="A2" s="3" t="s">
        <v>196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3.85" hidden="false" customHeight="false" outlineLevel="0" collapsed="false">
      <c r="A4" s="4" t="s">
        <v>197</v>
      </c>
      <c r="B4" s="4" t="s">
        <v>198</v>
      </c>
      <c r="C4" s="4" t="s">
        <v>6</v>
      </c>
      <c r="D4" s="4" t="s">
        <v>199</v>
      </c>
      <c r="E4" s="4" t="s">
        <v>200</v>
      </c>
      <c r="F4" s="4" t="s">
        <v>201</v>
      </c>
      <c r="G4" s="4" t="s">
        <v>202</v>
      </c>
      <c r="H4" s="4" t="s">
        <v>203</v>
      </c>
      <c r="I4" s="4" t="s">
        <v>204</v>
      </c>
    </row>
    <row r="5" customFormat="false" ht="15" hidden="false" customHeight="false" outlineLevel="0" collapsed="false">
      <c r="A5" s="5" t="s">
        <v>13</v>
      </c>
      <c r="B5" s="5" t="n">
        <v>1</v>
      </c>
      <c r="C5" s="5" t="s">
        <v>15</v>
      </c>
      <c r="D5" s="5" t="s">
        <v>17</v>
      </c>
      <c r="E5" s="8" t="n">
        <v>1.6307</v>
      </c>
      <c r="F5" s="8" t="n">
        <v>1.2652</v>
      </c>
      <c r="G5" s="9" t="n">
        <f aca="false">B5*E5</f>
        <v>1.6307</v>
      </c>
      <c r="H5" s="9" t="n">
        <f aca="false">B5*F5</f>
        <v>1.2652</v>
      </c>
      <c r="I5" s="5" t="s">
        <v>205</v>
      </c>
    </row>
    <row r="6" customFormat="false" ht="15" hidden="false" customHeight="false" outlineLevel="0" collapsed="false">
      <c r="A6" s="5" t="s">
        <v>22</v>
      </c>
      <c r="B6" s="5" t="n">
        <v>4</v>
      </c>
      <c r="C6" s="5" t="s">
        <v>24</v>
      </c>
      <c r="D6" s="5" t="s">
        <v>26</v>
      </c>
      <c r="E6" s="8" t="n">
        <v>0.0287</v>
      </c>
      <c r="F6" s="8" t="n">
        <v>0.0287</v>
      </c>
      <c r="G6" s="9" t="n">
        <f aca="false">B6*E6</f>
        <v>0.1148</v>
      </c>
      <c r="H6" s="9" t="n">
        <f aca="false">B6*F6</f>
        <v>0.1148</v>
      </c>
      <c r="I6" s="5" t="s">
        <v>205</v>
      </c>
    </row>
    <row r="7" customFormat="false" ht="15" hidden="false" customHeight="false" outlineLevel="0" collapsed="false">
      <c r="A7" s="5" t="s">
        <v>30</v>
      </c>
      <c r="B7" s="5" t="n">
        <v>2</v>
      </c>
      <c r="C7" s="5" t="s">
        <v>32</v>
      </c>
      <c r="D7" s="5" t="s">
        <v>33</v>
      </c>
      <c r="E7" s="8" t="n">
        <v>0.0049</v>
      </c>
      <c r="F7" s="8" t="n">
        <v>0.0049</v>
      </c>
      <c r="G7" s="9" t="n">
        <f aca="false">B7*E7</f>
        <v>0.0098</v>
      </c>
      <c r="H7" s="9" t="n">
        <f aca="false">B7*F7</f>
        <v>0.0098</v>
      </c>
      <c r="I7" s="5" t="s">
        <v>205</v>
      </c>
    </row>
    <row r="8" customFormat="false" ht="15" hidden="false" customHeight="false" outlineLevel="0" collapsed="false">
      <c r="A8" s="5" t="s">
        <v>38</v>
      </c>
      <c r="B8" s="5" t="n">
        <v>1</v>
      </c>
      <c r="C8" s="5" t="s">
        <v>40</v>
      </c>
      <c r="D8" s="5" t="s">
        <v>41</v>
      </c>
      <c r="E8" s="8" t="n">
        <v>0.0068</v>
      </c>
      <c r="F8" s="8" t="n">
        <v>0.0068</v>
      </c>
      <c r="G8" s="9" t="n">
        <f aca="false">B8*E8</f>
        <v>0.0068</v>
      </c>
      <c r="H8" s="9" t="n">
        <f aca="false">B8*F8</f>
        <v>0.0068</v>
      </c>
      <c r="I8" s="5" t="s">
        <v>205</v>
      </c>
    </row>
    <row r="9" customFormat="false" ht="15" hidden="false" customHeight="false" outlineLevel="0" collapsed="false">
      <c r="A9" s="5" t="s">
        <v>44</v>
      </c>
      <c r="B9" s="5" t="n">
        <v>1</v>
      </c>
      <c r="C9" s="5" t="s">
        <v>46</v>
      </c>
      <c r="D9" s="5" t="s">
        <v>47</v>
      </c>
      <c r="E9" s="8" t="n">
        <v>0.0205</v>
      </c>
      <c r="F9" s="8" t="n">
        <v>0.0159</v>
      </c>
      <c r="G9" s="9" t="n">
        <f aca="false">B9*E9</f>
        <v>0.0205</v>
      </c>
      <c r="H9" s="9" t="n">
        <f aca="false">B9*F9</f>
        <v>0.0159</v>
      </c>
      <c r="I9" s="5" t="s">
        <v>205</v>
      </c>
    </row>
    <row r="10" customFormat="false" ht="15" hidden="false" customHeight="false" outlineLevel="0" collapsed="false">
      <c r="A10" s="5" t="s">
        <v>50</v>
      </c>
      <c r="B10" s="5" t="n">
        <v>4</v>
      </c>
      <c r="C10" s="5" t="s">
        <v>52</v>
      </c>
      <c r="D10" s="5" t="s">
        <v>54</v>
      </c>
      <c r="E10" s="8" t="n">
        <v>0.0326</v>
      </c>
      <c r="F10" s="8" t="n">
        <v>0.0326</v>
      </c>
      <c r="G10" s="9" t="n">
        <f aca="false">B10*E10</f>
        <v>0.1304</v>
      </c>
      <c r="H10" s="9" t="n">
        <f aca="false">B10*F10</f>
        <v>0.1304</v>
      </c>
      <c r="I10" s="5" t="s">
        <v>205</v>
      </c>
    </row>
    <row r="11" customFormat="false" ht="15" hidden="false" customHeight="false" outlineLevel="0" collapsed="false">
      <c r="A11" s="5" t="s">
        <v>58</v>
      </c>
      <c r="B11" s="5" t="n">
        <v>1</v>
      </c>
      <c r="C11" s="5" t="s">
        <v>60</v>
      </c>
      <c r="D11" s="5" t="s">
        <v>62</v>
      </c>
      <c r="E11" s="8" t="n">
        <v>0.03</v>
      </c>
      <c r="F11" s="8" t="n">
        <v>0.02</v>
      </c>
      <c r="G11" s="9" t="n">
        <f aca="false">B11*E11</f>
        <v>0.03</v>
      </c>
      <c r="H11" s="9" t="n">
        <f aca="false">B11*F11</f>
        <v>0.02</v>
      </c>
      <c r="I11" s="5" t="s">
        <v>206</v>
      </c>
    </row>
    <row r="12" customFormat="false" ht="15" hidden="false" customHeight="false" outlineLevel="0" collapsed="false">
      <c r="A12" s="5" t="s">
        <v>66</v>
      </c>
      <c r="B12" s="5" t="n">
        <v>1</v>
      </c>
      <c r="C12" s="5" t="s">
        <v>68</v>
      </c>
      <c r="D12" s="5" t="s">
        <v>70</v>
      </c>
      <c r="E12" s="8" t="n">
        <v>0.012</v>
      </c>
      <c r="F12" s="8" t="n">
        <v>0.008</v>
      </c>
      <c r="G12" s="9" t="n">
        <f aca="false">B12*E12</f>
        <v>0.012</v>
      </c>
      <c r="H12" s="9" t="n">
        <f aca="false">B12*F12</f>
        <v>0.008</v>
      </c>
      <c r="I12" s="5" t="s">
        <v>206</v>
      </c>
    </row>
    <row r="13" customFormat="false" ht="15" hidden="false" customHeight="false" outlineLevel="0" collapsed="false">
      <c r="A13" s="5" t="s">
        <v>73</v>
      </c>
      <c r="B13" s="5" t="n">
        <v>1</v>
      </c>
      <c r="C13" s="5" t="s">
        <v>75</v>
      </c>
      <c r="D13" s="5" t="s">
        <v>77</v>
      </c>
      <c r="E13" s="8" t="n">
        <v>0.35</v>
      </c>
      <c r="F13" s="8" t="n">
        <v>0.25</v>
      </c>
      <c r="G13" s="9" t="n">
        <f aca="false">B13*E13</f>
        <v>0.35</v>
      </c>
      <c r="H13" s="9" t="n">
        <f aca="false">B13*F13</f>
        <v>0.25</v>
      </c>
      <c r="I13" s="5" t="s">
        <v>206</v>
      </c>
    </row>
    <row r="14" customFormat="false" ht="15" hidden="false" customHeight="false" outlineLevel="0" collapsed="false">
      <c r="A14" s="5" t="s">
        <v>81</v>
      </c>
      <c r="B14" s="5" t="n">
        <v>1</v>
      </c>
      <c r="C14" s="5" t="s">
        <v>83</v>
      </c>
      <c r="D14" s="5" t="s">
        <v>85</v>
      </c>
      <c r="E14" s="8" t="n">
        <v>0.1729</v>
      </c>
      <c r="F14" s="8" t="n">
        <v>0.1365</v>
      </c>
      <c r="G14" s="9" t="n">
        <f aca="false">B14*E14</f>
        <v>0.1729</v>
      </c>
      <c r="H14" s="9" t="n">
        <f aca="false">B14*F14</f>
        <v>0.1365</v>
      </c>
      <c r="I14" s="5" t="s">
        <v>205</v>
      </c>
    </row>
    <row r="15" customFormat="false" ht="15" hidden="false" customHeight="false" outlineLevel="0" collapsed="false">
      <c r="A15" s="5" t="s">
        <v>89</v>
      </c>
      <c r="B15" s="5" t="n">
        <v>4</v>
      </c>
      <c r="C15" s="5" t="s">
        <v>90</v>
      </c>
      <c r="D15" s="5" t="s">
        <v>92</v>
      </c>
      <c r="E15" s="8" t="n">
        <v>0.232</v>
      </c>
      <c r="F15" s="8" t="n">
        <v>0.178</v>
      </c>
      <c r="G15" s="9" t="n">
        <f aca="false">B15*E15</f>
        <v>0.928</v>
      </c>
      <c r="H15" s="9" t="n">
        <f aca="false">B15*F15</f>
        <v>0.712</v>
      </c>
      <c r="I15" s="5" t="s">
        <v>205</v>
      </c>
    </row>
    <row r="16" customFormat="false" ht="15" hidden="false" customHeight="false" outlineLevel="0" collapsed="false">
      <c r="A16" s="5" t="s">
        <v>96</v>
      </c>
      <c r="B16" s="5" t="n">
        <v>1</v>
      </c>
      <c r="C16" s="5" t="s">
        <v>97</v>
      </c>
      <c r="D16" s="5" t="s">
        <v>98</v>
      </c>
      <c r="E16" s="8" t="n">
        <v>0.8993</v>
      </c>
      <c r="F16" s="8" t="n">
        <v>0.7663</v>
      </c>
      <c r="G16" s="9" t="n">
        <f aca="false">B16*E16</f>
        <v>0.8993</v>
      </c>
      <c r="H16" s="9" t="n">
        <f aca="false">B16*F16</f>
        <v>0.7663</v>
      </c>
      <c r="I16" s="5" t="s">
        <v>205</v>
      </c>
    </row>
    <row r="17" customFormat="false" ht="15" hidden="false" customHeight="false" outlineLevel="0" collapsed="false">
      <c r="A17" s="5" t="s">
        <v>102</v>
      </c>
      <c r="B17" s="5" t="n">
        <v>4</v>
      </c>
      <c r="C17" s="5" t="s">
        <v>104</v>
      </c>
      <c r="D17" s="5" t="s">
        <v>106</v>
      </c>
      <c r="E17" s="8" t="n">
        <v>0.002</v>
      </c>
      <c r="F17" s="8" t="n">
        <v>0.002</v>
      </c>
      <c r="G17" s="9" t="n">
        <f aca="false">B17*E17</f>
        <v>0.008</v>
      </c>
      <c r="H17" s="9" t="n">
        <f aca="false">B17*F17</f>
        <v>0.008</v>
      </c>
      <c r="I17" s="5" t="s">
        <v>206</v>
      </c>
    </row>
    <row r="18" customFormat="false" ht="15" hidden="false" customHeight="false" outlineLevel="0" collapsed="false">
      <c r="A18" s="5" t="s">
        <v>109</v>
      </c>
      <c r="B18" s="5" t="n">
        <v>5</v>
      </c>
      <c r="C18" s="5" t="s">
        <v>111</v>
      </c>
      <c r="D18" s="5" t="s">
        <v>112</v>
      </c>
      <c r="E18" s="8" t="n">
        <v>0.002</v>
      </c>
      <c r="F18" s="8" t="n">
        <v>0.002</v>
      </c>
      <c r="G18" s="9" t="n">
        <f aca="false">B18*E18</f>
        <v>0.01</v>
      </c>
      <c r="H18" s="9" t="n">
        <f aca="false">B18*F18</f>
        <v>0.01</v>
      </c>
      <c r="I18" s="5" t="s">
        <v>206</v>
      </c>
    </row>
    <row r="19" customFormat="false" ht="15" hidden="false" customHeight="false" outlineLevel="0" collapsed="false">
      <c r="A19" s="5" t="s">
        <v>115</v>
      </c>
      <c r="B19" s="5" t="n">
        <v>1</v>
      </c>
      <c r="C19" s="5" t="s">
        <v>117</v>
      </c>
      <c r="D19" s="5" t="s">
        <v>119</v>
      </c>
      <c r="E19" s="8" t="n">
        <v>0.0476</v>
      </c>
      <c r="F19" s="8" t="n">
        <v>0.0389</v>
      </c>
      <c r="G19" s="9" t="n">
        <f aca="false">B19*E19</f>
        <v>0.0476</v>
      </c>
      <c r="H19" s="9" t="n">
        <f aca="false">B19*F19</f>
        <v>0.0389</v>
      </c>
      <c r="I19" s="5" t="s">
        <v>205</v>
      </c>
    </row>
    <row r="20" customFormat="false" ht="15" hidden="false" customHeight="false" outlineLevel="0" collapsed="false">
      <c r="A20" s="5" t="s">
        <v>123</v>
      </c>
      <c r="B20" s="5" t="n">
        <v>2</v>
      </c>
      <c r="C20" s="5" t="s">
        <v>125</v>
      </c>
      <c r="D20" s="5" t="s">
        <v>126</v>
      </c>
      <c r="E20" s="8" t="n">
        <v>0.002</v>
      </c>
      <c r="F20" s="8" t="n">
        <v>0.002</v>
      </c>
      <c r="G20" s="9" t="n">
        <f aca="false">B20*E20</f>
        <v>0.004</v>
      </c>
      <c r="H20" s="9" t="n">
        <f aca="false">B20*F20</f>
        <v>0.004</v>
      </c>
      <c r="I20" s="5" t="s">
        <v>206</v>
      </c>
    </row>
    <row r="21" customFormat="false" ht="15" hidden="false" customHeight="false" outlineLevel="0" collapsed="false">
      <c r="A21" s="5" t="s">
        <v>129</v>
      </c>
      <c r="B21" s="5" t="n">
        <v>2</v>
      </c>
      <c r="C21" s="5" t="s">
        <v>131</v>
      </c>
      <c r="D21" s="5" t="s">
        <v>132</v>
      </c>
      <c r="E21" s="8" t="n">
        <v>0.002</v>
      </c>
      <c r="F21" s="8" t="n">
        <v>0.002</v>
      </c>
      <c r="G21" s="9" t="n">
        <f aca="false">B21*E21</f>
        <v>0.004</v>
      </c>
      <c r="H21" s="9" t="n">
        <f aca="false">B21*F21</f>
        <v>0.004</v>
      </c>
      <c r="I21" s="5" t="s">
        <v>206</v>
      </c>
    </row>
    <row r="22" customFormat="false" ht="15" hidden="false" customHeight="false" outlineLevel="0" collapsed="false">
      <c r="A22" s="5" t="s">
        <v>135</v>
      </c>
      <c r="B22" s="5" t="n">
        <v>1</v>
      </c>
      <c r="C22" s="5" t="s">
        <v>137</v>
      </c>
      <c r="D22" s="5" t="s">
        <v>138</v>
      </c>
      <c r="E22" s="8" t="n">
        <v>0.002</v>
      </c>
      <c r="F22" s="8" t="n">
        <v>0.002</v>
      </c>
      <c r="G22" s="9" t="n">
        <f aca="false">B22*E22</f>
        <v>0.002</v>
      </c>
      <c r="H22" s="9" t="n">
        <f aca="false">B22*F22</f>
        <v>0.002</v>
      </c>
      <c r="I22" s="5" t="s">
        <v>206</v>
      </c>
    </row>
    <row r="23" customFormat="false" ht="15" hidden="false" customHeight="false" outlineLevel="0" collapsed="false">
      <c r="A23" s="5" t="s">
        <v>141</v>
      </c>
      <c r="B23" s="5" t="n">
        <v>1</v>
      </c>
      <c r="C23" s="5" t="s">
        <v>143</v>
      </c>
      <c r="D23" s="5" t="s">
        <v>145</v>
      </c>
      <c r="E23" s="8" t="n">
        <v>0.003</v>
      </c>
      <c r="F23" s="8" t="n">
        <v>0.002</v>
      </c>
      <c r="G23" s="9" t="n">
        <f aca="false">B23*E23</f>
        <v>0.003</v>
      </c>
      <c r="H23" s="9" t="n">
        <f aca="false">B23*F23</f>
        <v>0.002</v>
      </c>
      <c r="I23" s="5" t="s">
        <v>206</v>
      </c>
    </row>
    <row r="24" customFormat="false" ht="15" hidden="false" customHeight="false" outlineLevel="0" collapsed="false">
      <c r="A24" s="5" t="s">
        <v>148</v>
      </c>
      <c r="B24" s="5" t="n">
        <v>1</v>
      </c>
      <c r="C24" s="5" t="s">
        <v>150</v>
      </c>
      <c r="D24" s="5" t="s">
        <v>152</v>
      </c>
      <c r="E24" s="8" t="n">
        <v>0.6</v>
      </c>
      <c r="F24" s="8" t="n">
        <v>0.45</v>
      </c>
      <c r="G24" s="9" t="n">
        <f aca="false">B24*E24</f>
        <v>0.6</v>
      </c>
      <c r="H24" s="9" t="n">
        <f aca="false">B24*F24</f>
        <v>0.45</v>
      </c>
      <c r="I24" s="5" t="s">
        <v>206</v>
      </c>
    </row>
    <row r="25" customFormat="false" ht="15" hidden="false" customHeight="false" outlineLevel="0" collapsed="false">
      <c r="A25" s="5" t="s">
        <v>156</v>
      </c>
      <c r="B25" s="5" t="n">
        <v>1</v>
      </c>
      <c r="C25" s="5" t="s">
        <v>157</v>
      </c>
      <c r="D25" s="5" t="s">
        <v>158</v>
      </c>
      <c r="E25" s="8" t="n">
        <v>1.4469</v>
      </c>
      <c r="F25" s="8" t="n">
        <v>1.0963</v>
      </c>
      <c r="G25" s="9" t="n">
        <f aca="false">B25*E25</f>
        <v>1.4469</v>
      </c>
      <c r="H25" s="9" t="n">
        <f aca="false">B25*F25</f>
        <v>1.0963</v>
      </c>
      <c r="I25" s="5" t="s">
        <v>205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6" t="s">
        <v>207</v>
      </c>
      <c r="B27" s="6" t="n">
        <f aca="false">SUM(B5:B25)</f>
        <v>40</v>
      </c>
      <c r="C27" s="6"/>
      <c r="D27" s="6"/>
      <c r="E27" s="6"/>
      <c r="F27" s="6"/>
      <c r="G27" s="10" t="n">
        <f aca="false">SUM(G5:G25)</f>
        <v>6.4307</v>
      </c>
      <c r="H27" s="10" t="n">
        <f aca="false">SUM(H5:H25)</f>
        <v>5.0509</v>
      </c>
      <c r="I2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2026-10-18T21:20:39Z</dcterms:created>
  <dc:creator>openpyxl</dc:creator>
  <dc:description/>
  <dc:language>en-US</dc:language>
  <cp:lastModifiedBy/>
  <dcterms:modified xsi:type="dcterms:W3CDTF">2026-10-18T21:20:39Z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