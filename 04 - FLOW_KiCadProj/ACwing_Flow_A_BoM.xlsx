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Costing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0"/>
    <numFmt numFmtId="165" formatCode="\$#,##0.00"/>
    <numFmt numFmtId="166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0"/>
    </font>
  </fonts>
  <fills count="3">
    <fill>
      <patternFill/>
    </fill>
    <fill>
      <patternFill patternType="gray125"/>
    </fill>
    <fill>
      <patternFill patternType="solid">
        <fgColor rgb="FF305496"/>
        <b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164" fontId="10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165" fontId="8" fillId="0" borderId="0" applyAlignment="1" pivotButton="0" quotePrefix="0" xfId="0">
      <alignment horizontal="general" vertical="top" wrapText="1"/>
    </xf>
    <xf numFmtId="166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164" fontId="10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165" fontId="8" fillId="0" borderId="0" applyAlignment="1" pivotButton="0" quotePrefix="0" xfId="0">
      <alignment horizontal="general" vertical="top" wrapText="1"/>
    </xf>
    <xf numFmtId="166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7"/>
  <sheetViews>
    <sheetView showFormulas="0" showGridLines="1" showRowColHeaders="1" showZeros="1" rightToLeft="0" tabSelected="1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2" min="1" max="1"/>
    <col width="9" customWidth="1" style="12" min="2" max="2"/>
    <col width="22" customWidth="1" style="12" min="3" max="3"/>
    <col width="14" customWidth="1" style="12" min="4" max="4"/>
    <col width="24" customWidth="1" style="12" min="5" max="5"/>
    <col width="22" customWidth="1" style="12" min="6" max="6"/>
    <col width="20" customWidth="1" style="12" min="7" max="7"/>
    <col width="24" customWidth="1" style="12" min="8" max="8"/>
    <col width="40" customWidth="1" style="12" min="9" max="9"/>
    <col width="9" customWidth="1" style="12" min="10" max="10"/>
    <col width="60" customWidth="1" style="12" min="11" max="11"/>
  </cols>
  <sheetData>
    <row r="1" ht="171.6" customHeight="1" s="13">
      <c r="A1" s="14" t="inlineStr">
        <is>
          <t>ACwing Flow rev A - assembly BoM (1 board)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</row>
    <row r="2" ht="325.35" customHeight="1" s="13">
      <c r="A2" s="16" t="inlineStr">
        <is>
          <t>Source: ACwing_Flow_A.kicad_sch / ACwing_Flow_A.kicad_pcb. LCSC part numbers checked on 2026-10-17. Check the PMW3901 lens (LN03-ZSZ) supply before ordering.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</row>
    <row r="3" ht="15" customHeight="1" s="1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</row>
    <row r="4" ht="15" customHeight="1" s="13">
      <c r="A4" s="17" t="inlineStr">
        <is>
          <t>Item</t>
        </is>
      </c>
      <c r="B4" s="17" t="inlineStr">
        <is>
          <t>Quantity</t>
        </is>
      </c>
      <c r="C4" s="17" t="inlineStr">
        <is>
          <t>Part Reference</t>
        </is>
      </c>
      <c r="D4" s="17" t="inlineStr">
        <is>
          <t>Value</t>
        </is>
      </c>
      <c r="E4" s="17" t="inlineStr">
        <is>
          <t>MPN</t>
        </is>
      </c>
      <c r="F4" s="17" t="inlineStr">
        <is>
          <t>Manufacturer</t>
        </is>
      </c>
      <c r="G4" s="17" t="inlineStr">
        <is>
          <t>LCSC / JLCPCB #</t>
        </is>
      </c>
      <c r="H4" s="17" t="inlineStr">
        <is>
          <t>Package</t>
        </is>
      </c>
      <c r="I4" s="17" t="inlineStr">
        <is>
          <t>Description</t>
        </is>
      </c>
      <c r="J4" s="17" t="inlineStr">
        <is>
          <t>Side</t>
        </is>
      </c>
      <c r="K4" s="17" t="inlineStr">
        <is>
          <t>Notes</t>
        </is>
      </c>
    </row>
    <row r="5" ht="23.85" customHeight="1" s="13">
      <c r="A5" s="18" t="n">
        <v>1</v>
      </c>
      <c r="B5" s="18" t="n">
        <v>2</v>
      </c>
      <c r="C5" s="18" t="inlineStr">
        <is>
          <t>C1, C2</t>
        </is>
      </c>
      <c r="D5" s="18" t="inlineStr">
        <is>
          <t>22uF</t>
        </is>
      </c>
      <c r="E5" s="18" t="inlineStr">
        <is>
          <t>CL10A226MQ8NRNC</t>
        </is>
      </c>
      <c r="F5" s="18" t="inlineStr">
        <is>
          <t>Samsung Electro-Mechanics</t>
        </is>
      </c>
      <c r="G5" s="18" t="inlineStr">
        <is>
          <t>C59461</t>
        </is>
      </c>
      <c r="H5" s="18" t="inlineStr">
        <is>
          <t>0603 (1608 metric)</t>
        </is>
      </c>
      <c r="I5" s="18" t="inlineStr">
        <is>
          <t>Capacitor, MLCC, 22 uF, 6.3 V, X5R</t>
        </is>
      </c>
      <c r="J5" s="18" t="inlineStr">
        <is>
          <t>Top</t>
        </is>
      </c>
      <c r="K5" s="18" t="inlineStr">
        <is>
          <t>PMW3901 VDD (PixArt reference)</t>
        </is>
      </c>
    </row>
    <row r="6" ht="23.85" customHeight="1" s="13">
      <c r="A6" s="18" t="n">
        <v>2</v>
      </c>
      <c r="B6" s="18" t="n">
        <v>6</v>
      </c>
      <c r="C6" s="18" t="inlineStr">
        <is>
          <t>C3, C5, C7, C10, C12, C14</t>
        </is>
      </c>
      <c r="D6" s="18" t="inlineStr">
        <is>
          <t>100nF</t>
        </is>
      </c>
      <c r="E6" s="18" t="inlineStr">
        <is>
          <t>CL05B104KO5NNNC</t>
        </is>
      </c>
      <c r="F6" s="18" t="inlineStr">
        <is>
          <t>Samsung Electro-Mechanics</t>
        </is>
      </c>
      <c r="G6" s="18" t="inlineStr">
        <is>
          <t>C1525</t>
        </is>
      </c>
      <c r="H6" s="18" t="inlineStr">
        <is>
          <t>0402 (1005 metric)</t>
        </is>
      </c>
      <c r="I6" s="18" t="inlineStr">
        <is>
          <t>Capacitor, MLCC, 100 nF, 16 V, X7R</t>
        </is>
      </c>
      <c r="J6" s="18" t="inlineStr">
        <is>
          <t>Top</t>
        </is>
      </c>
      <c r="K6" s="18" t="inlineStr">
        <is>
          <t>Decoupling</t>
        </is>
      </c>
    </row>
    <row r="7" ht="23.85" customHeight="1" s="13">
      <c r="A7" s="18" t="n">
        <v>3</v>
      </c>
      <c r="B7" s="18" t="n">
        <v>1</v>
      </c>
      <c r="C7" s="18" t="inlineStr">
        <is>
          <t>C4</t>
        </is>
      </c>
      <c r="D7" s="18" t="inlineStr">
        <is>
          <t>10uF</t>
        </is>
      </c>
      <c r="E7" s="18" t="inlineStr">
        <is>
          <t>CL10A106KP8NNNC</t>
        </is>
      </c>
      <c r="F7" s="18" t="inlineStr">
        <is>
          <t>Samsung Electro-Mechanics</t>
        </is>
      </c>
      <c r="G7" s="18" t="inlineStr">
        <is>
          <t>C19702</t>
        </is>
      </c>
      <c r="H7" s="18" t="inlineStr">
        <is>
          <t>0603 (1608 metric)</t>
        </is>
      </c>
      <c r="I7" s="18" t="inlineStr">
        <is>
          <t>Capacitor, MLCC, 10 uF, 10 V, X5R</t>
        </is>
      </c>
      <c r="J7" s="18" t="inlineStr">
        <is>
          <t>Top</t>
        </is>
      </c>
      <c r="K7" s="18" t="inlineStr">
        <is>
          <t>PMW3901 VDDIO</t>
        </is>
      </c>
    </row>
    <row r="8" ht="23.85" customHeight="1" s="13">
      <c r="A8" s="18" t="n">
        <v>4</v>
      </c>
      <c r="B8" s="18" t="n">
        <v>3</v>
      </c>
      <c r="C8" s="18" t="inlineStr">
        <is>
          <t>C6, C11, C13</t>
        </is>
      </c>
      <c r="D8" s="18" t="inlineStr">
        <is>
          <t>4.7uF</t>
        </is>
      </c>
      <c r="E8" s="18" t="inlineStr">
        <is>
          <t>CL10A475KO8NNNC</t>
        </is>
      </c>
      <c r="F8" s="18" t="inlineStr">
        <is>
          <t>Samsung Electro-Mechanics</t>
        </is>
      </c>
      <c r="G8" s="18" t="inlineStr">
        <is>
          <t>C19666</t>
        </is>
      </c>
      <c r="H8" s="18" t="inlineStr">
        <is>
          <t>0603 (1608 metric)</t>
        </is>
      </c>
      <c r="I8" s="18" t="inlineStr">
        <is>
          <t>Capacitor, MLCC, 4.7 uF, 16 V, X5R</t>
        </is>
      </c>
      <c r="J8" s="18" t="inlineStr">
        <is>
          <t>Top</t>
        </is>
      </c>
      <c r="K8" s="18" t="inlineStr">
        <is>
          <t>PMW3901 VREG, VL53L1X and MCU bulk</t>
        </is>
      </c>
    </row>
    <row r="9" ht="23.85" customHeight="1" s="13">
      <c r="A9" s="18" t="n">
        <v>5</v>
      </c>
      <c r="B9" s="18" t="n">
        <v>2</v>
      </c>
      <c r="C9" s="18" t="inlineStr">
        <is>
          <t>C8, C9</t>
        </is>
      </c>
      <c r="D9" s="18" t="inlineStr">
        <is>
          <t>1uF</t>
        </is>
      </c>
      <c r="E9" s="18" t="inlineStr">
        <is>
          <t>CL05A105KA5NQNC</t>
        </is>
      </c>
      <c r="F9" s="18" t="inlineStr">
        <is>
          <t>Samsung Electro-Mechanics</t>
        </is>
      </c>
      <c r="G9" s="18" t="inlineStr">
        <is>
          <t>C52923</t>
        </is>
      </c>
      <c r="H9" s="18" t="inlineStr">
        <is>
          <t>0402 (1005 metric)</t>
        </is>
      </c>
      <c r="I9" s="18" t="inlineStr">
        <is>
          <t>Capacitor, MLCC, 1 uF, 25 V, X5R</t>
        </is>
      </c>
      <c r="J9" s="18" t="inlineStr">
        <is>
          <t>Top</t>
        </is>
      </c>
      <c r="K9" s="18" t="inlineStr">
        <is>
          <t>LDO input / output</t>
        </is>
      </c>
    </row>
    <row r="10" ht="15" customHeight="1" s="13">
      <c r="A10" s="18" t="n">
        <v>6</v>
      </c>
      <c r="B10" s="18" t="n">
        <v>1</v>
      </c>
      <c r="C10" s="18" t="inlineStr">
        <is>
          <t>D1</t>
        </is>
      </c>
      <c r="D10" s="18" t="inlineStr">
        <is>
          <t>green</t>
        </is>
      </c>
      <c r="E10" s="18" t="inlineStr">
        <is>
          <t>XL-1005UGC</t>
        </is>
      </c>
      <c r="F10" s="18" t="inlineStr">
        <is>
          <t>XINGLIGHT</t>
        </is>
      </c>
      <c r="G10" s="18" t="inlineStr">
        <is>
          <t>C965793</t>
        </is>
      </c>
      <c r="H10" s="18" t="inlineStr">
        <is>
          <t>0402 (1005 metric)</t>
        </is>
      </c>
      <c r="I10" s="18" t="inlineStr">
        <is>
          <t>LED, green, 0402</t>
        </is>
      </c>
      <c r="J10" s="18" t="inlineStr">
        <is>
          <t>Top</t>
        </is>
      </c>
      <c r="K10" s="18" t="inlineStr">
        <is>
          <t>Status LED (PA8)</t>
        </is>
      </c>
    </row>
    <row r="11" ht="23.85" customHeight="1" s="13">
      <c r="A11" s="18" t="n">
        <v>7</v>
      </c>
      <c r="B11" s="18" t="n">
        <v>2</v>
      </c>
      <c r="C11" s="18" t="inlineStr">
        <is>
          <t>J1, J2</t>
        </is>
      </c>
      <c r="D11" s="18" t="inlineStr">
        <is>
          <t>Qwiic</t>
        </is>
      </c>
      <c r="E11" s="18" t="inlineStr">
        <is>
          <t>SM04B-SRSS-TB(LF)(SN)</t>
        </is>
      </c>
      <c r="F11" s="18" t="inlineStr">
        <is>
          <t>JST</t>
        </is>
      </c>
      <c r="G11" s="18" t="inlineStr">
        <is>
          <t>C160404</t>
        </is>
      </c>
      <c r="H11" s="18" t="inlineStr">
        <is>
          <t>JST SH 4P side entry, h 2.9 mm</t>
        </is>
      </c>
      <c r="I11" s="18" t="inlineStr">
        <is>
          <t>Connector, JST SH, 4 positions, 1.0 mm pitch, side entry</t>
        </is>
      </c>
      <c r="J11" s="18" t="inlineStr">
        <is>
          <t>Top</t>
        </is>
      </c>
      <c r="K11" s="18" t="inlineStr">
        <is>
          <t>Qwiic in/out (pass-through), left and right edges</t>
        </is>
      </c>
    </row>
    <row r="12" ht="15" customHeight="1" s="13">
      <c r="A12" s="18" t="n">
        <v>8</v>
      </c>
      <c r="B12" s="18" t="n">
        <v>1</v>
      </c>
      <c r="C12" s="18" t="inlineStr">
        <is>
          <t>R1</t>
        </is>
      </c>
      <c r="D12" s="18" t="inlineStr">
        <is>
          <t>3R</t>
        </is>
      </c>
      <c r="E12" s="18" t="inlineStr">
        <is>
          <t>0402WGF300KTCE</t>
        </is>
      </c>
      <c r="F12" s="18" t="inlineStr">
        <is>
          <t>UNI-ROYAL</t>
        </is>
      </c>
      <c r="G12" s="18" t="inlineStr">
        <is>
          <t>C423196</t>
        </is>
      </c>
      <c r="H12" s="18" t="inlineStr">
        <is>
          <t>0402 (1005 metric)</t>
        </is>
      </c>
      <c r="I12" s="18" t="inlineStr">
        <is>
          <t>Resistor, 3 Ohm, 1 %, 1/16 W</t>
        </is>
      </c>
      <c r="J12" s="18" t="inlineStr">
        <is>
          <t>Top</t>
        </is>
      </c>
      <c r="K12" s="18" t="inlineStr">
        <is>
          <t>PMW3901 VDD filter (PixArt reference)</t>
        </is>
      </c>
    </row>
    <row r="13" ht="15" customHeight="1" s="13">
      <c r="A13" s="18" t="n">
        <v>9</v>
      </c>
      <c r="B13" s="18" t="n">
        <v>5</v>
      </c>
      <c r="C13" s="18" t="inlineStr">
        <is>
          <t>R2, R3, R4, R9, R10</t>
        </is>
      </c>
      <c r="D13" s="18" t="inlineStr">
        <is>
          <t>10k</t>
        </is>
      </c>
      <c r="E13" s="18" t="inlineStr">
        <is>
          <t>0402WGF1002TCE</t>
        </is>
      </c>
      <c r="F13" s="18" t="inlineStr">
        <is>
          <t>UNI-ROYAL</t>
        </is>
      </c>
      <c r="G13" s="18" t="inlineStr">
        <is>
          <t>C25744</t>
        </is>
      </c>
      <c r="H13" s="18" t="inlineStr">
        <is>
          <t>0402 (1005 metric)</t>
        </is>
      </c>
      <c r="I13" s="18" t="inlineStr">
        <is>
          <t>Resistor, 10 kOhm, 1 %, 1/16 W</t>
        </is>
      </c>
      <c r="J13" s="18" t="inlineStr">
        <is>
          <t>Top</t>
        </is>
      </c>
      <c r="K13" s="18" t="inlineStr">
        <is>
          <t>Pull-ups (NRESET, NCS, MOTION, XSHUT, INT)</t>
        </is>
      </c>
    </row>
    <row r="14" ht="15" customHeight="1" s="13">
      <c r="A14" s="18" t="n">
        <v>10</v>
      </c>
      <c r="B14" s="18" t="n">
        <v>1</v>
      </c>
      <c r="C14" s="18" t="inlineStr">
        <is>
          <t>R5</t>
        </is>
      </c>
      <c r="D14" s="18" t="inlineStr">
        <is>
          <t>15k 1%</t>
        </is>
      </c>
      <c r="E14" s="18" t="inlineStr">
        <is>
          <t>0402WGF1502TCE</t>
        </is>
      </c>
      <c r="F14" s="18" t="inlineStr">
        <is>
          <t>UNI-ROYAL</t>
        </is>
      </c>
      <c r="G14" s="18" t="inlineStr">
        <is>
          <t>C25756</t>
        </is>
      </c>
      <c r="H14" s="18" t="inlineStr">
        <is>
          <t>0402 (1005 metric)</t>
        </is>
      </c>
      <c r="I14" s="18" t="inlineStr">
        <is>
          <t>Resistor, 15 kOhm, 1 %, 1/16 W</t>
        </is>
      </c>
      <c r="J14" s="18" t="inlineStr">
        <is>
          <t>Top</t>
        </is>
      </c>
      <c r="K14" s="18" t="inlineStr">
        <is>
          <t>LDO divider, top</t>
        </is>
      </c>
    </row>
    <row r="15" ht="15" customHeight="1" s="13">
      <c r="A15" s="18" t="n">
        <v>11</v>
      </c>
      <c r="B15" s="18" t="n">
        <v>1</v>
      </c>
      <c r="C15" s="18" t="inlineStr">
        <is>
          <t>R6</t>
        </is>
      </c>
      <c r="D15" s="18" t="inlineStr">
        <is>
          <t>10k 1%</t>
        </is>
      </c>
      <c r="E15" s="18" t="inlineStr">
        <is>
          <t>0402WGF1002TCE</t>
        </is>
      </c>
      <c r="F15" s="18" t="inlineStr">
        <is>
          <t>UNI-ROYAL</t>
        </is>
      </c>
      <c r="G15" s="18" t="inlineStr">
        <is>
          <t>C25744</t>
        </is>
      </c>
      <c r="H15" s="18" t="inlineStr">
        <is>
          <t>0402 (1005 metric)</t>
        </is>
      </c>
      <c r="I15" s="18" t="inlineStr">
        <is>
          <t>Resistor, 10 kOhm, 1 %, 1/16 W</t>
        </is>
      </c>
      <c r="J15" s="18" t="inlineStr">
        <is>
          <t>Top</t>
        </is>
      </c>
      <c r="K15" s="18" t="inlineStr">
        <is>
          <t>LDO divider, bottom</t>
        </is>
      </c>
    </row>
    <row r="16" ht="15" customHeight="1" s="13">
      <c r="A16" s="18" t="n">
        <v>12</v>
      </c>
      <c r="B16" s="18" t="n">
        <v>1</v>
      </c>
      <c r="C16" s="18" t="inlineStr">
        <is>
          <t>R11</t>
        </is>
      </c>
      <c r="D16" s="18" t="inlineStr">
        <is>
          <t>1k</t>
        </is>
      </c>
      <c r="E16" s="18" t="inlineStr">
        <is>
          <t>0402WGF1001TCE</t>
        </is>
      </c>
      <c r="F16" s="18" t="inlineStr">
        <is>
          <t>UNI-ROYAL</t>
        </is>
      </c>
      <c r="G16" s="18" t="inlineStr">
        <is>
          <t>C11702</t>
        </is>
      </c>
      <c r="H16" s="18" t="inlineStr">
        <is>
          <t>0402 (1005 metric)</t>
        </is>
      </c>
      <c r="I16" s="18" t="inlineStr">
        <is>
          <t>Resistor, 1 kOhm, 1 %, 1/16 W</t>
        </is>
      </c>
      <c r="J16" s="18" t="inlineStr">
        <is>
          <t>Top</t>
        </is>
      </c>
      <c r="K16" s="18" t="inlineStr">
        <is>
          <t>LED current</t>
        </is>
      </c>
    </row>
    <row r="17" ht="23.85" customHeight="1" s="13">
      <c r="A17" s="18" t="n">
        <v>13</v>
      </c>
      <c r="B17" s="18" t="n">
        <v>1</v>
      </c>
      <c r="C17" s="18" t="inlineStr">
        <is>
          <t>U1</t>
        </is>
      </c>
      <c r="D17" s="18" t="inlineStr">
        <is>
          <t>PMW3901MB-TXQT</t>
        </is>
      </c>
      <c r="E17" s="18" t="inlineStr">
        <is>
          <t>PMW3901MB-TXQT</t>
        </is>
      </c>
      <c r="F17" s="18" t="inlineStr">
        <is>
          <t>PixArt Imaging</t>
        </is>
      </c>
      <c r="G17" s="18" t="inlineStr">
        <is>
          <t>C43496881</t>
        </is>
      </c>
      <c r="H17" s="18" t="inlineStr">
        <is>
          <t>COB-28 6 x 6 mm (lens 6 x 6 x 2.28)</t>
        </is>
      </c>
      <c r="I17" s="18" t="inlineStr">
        <is>
          <t>Optical flow sensor, far field (80 mm to infinity), SPI 2 MHz</t>
        </is>
      </c>
      <c r="J17" s="18" t="inlineStr">
        <is>
          <t>Top</t>
        </is>
      </c>
      <c r="K17" s="18" t="inlineStr">
        <is>
          <t>Needs the LN03-ZSZ lens assembly: check whether the LCSC/JLC part includes it, otherwise order the lens separately and fit it after reflow</t>
        </is>
      </c>
    </row>
    <row r="18" ht="15" customHeight="1" s="13">
      <c r="A18" s="18" t="n">
        <v>14</v>
      </c>
      <c r="B18" s="18" t="n">
        <v>1</v>
      </c>
      <c r="C18" s="18" t="inlineStr">
        <is>
          <t>U2</t>
        </is>
      </c>
      <c r="D18" s="18" t="inlineStr">
        <is>
          <t>LDK130PU-R</t>
        </is>
      </c>
      <c r="E18" s="18" t="inlineStr">
        <is>
          <t>LDK130PU-R</t>
        </is>
      </c>
      <c r="F18" s="18" t="inlineStr">
        <is>
          <t>STMicroelectronics</t>
        </is>
      </c>
      <c r="G18" s="18" t="inlineStr">
        <is>
          <t>C157446</t>
        </is>
      </c>
      <c r="H18" s="18" t="inlineStr">
        <is>
          <t>DFN-6 1.2 x 1.3 mm</t>
        </is>
      </c>
      <c r="I18" s="18" t="inlineStr">
        <is>
          <t>LDO, adjustable, 300 mA</t>
        </is>
      </c>
      <c r="J18" s="18" t="inlineStr">
        <is>
          <t>Top</t>
        </is>
      </c>
      <c r="K18" s="18" t="inlineStr">
        <is>
          <t>PMW3901 VDD 2.0 V (R5/R6)</t>
        </is>
      </c>
    </row>
    <row r="19" ht="23.85" customHeight="1" s="13">
      <c r="A19" s="18" t="n">
        <v>15</v>
      </c>
      <c r="B19" s="18" t="n">
        <v>1</v>
      </c>
      <c r="C19" s="18" t="inlineStr">
        <is>
          <t>U3</t>
        </is>
      </c>
      <c r="D19" s="18" t="inlineStr">
        <is>
          <t>VL53L1CXV0FY/1</t>
        </is>
      </c>
      <c r="E19" s="18" t="inlineStr">
        <is>
          <t>VL53L1CXV0FY/1</t>
        </is>
      </c>
      <c r="F19" s="18" t="inlineStr">
        <is>
          <t>STMicroelectronics</t>
        </is>
      </c>
      <c r="G19" s="18" t="inlineStr">
        <is>
          <t>C190004</t>
        </is>
      </c>
      <c r="H19" s="18" t="inlineStr">
        <is>
          <t>LGA-12 4.9 x 2.5 x 1.56 mm</t>
        </is>
      </c>
      <c r="I19" s="18" t="inlineStr">
        <is>
          <t>Time-of-flight distance sensor, up to 4 m, I2C 0x29</t>
        </is>
      </c>
      <c r="J19" s="18" t="inlineStr">
        <is>
          <t>Top</t>
        </is>
      </c>
      <c r="K19" s="18" t="inlineStr">
        <is>
          <t>Height above ground; keep the cover-glass area clear (no window)</t>
        </is>
      </c>
    </row>
    <row r="20" ht="23.85" customHeight="1" s="13">
      <c r="A20" s="18" t="n">
        <v>16</v>
      </c>
      <c r="B20" s="18" t="n">
        <v>1</v>
      </c>
      <c r="C20" s="18" t="inlineStr">
        <is>
          <t>U4</t>
        </is>
      </c>
      <c r="D20" s="18" t="inlineStr">
        <is>
          <t>STM32C011F4U6</t>
        </is>
      </c>
      <c r="E20" s="18" t="inlineStr">
        <is>
          <t>STM32C011F4U6TR</t>
        </is>
      </c>
      <c r="F20" s="18" t="inlineStr">
        <is>
          <t>STMicroelectronics</t>
        </is>
      </c>
      <c r="G20" s="18" t="inlineStr">
        <is>
          <t>C5456188</t>
        </is>
      </c>
      <c r="H20" s="18" t="inlineStr">
        <is>
          <t>UFQFPN-20 3 x 3 mm</t>
        </is>
      </c>
      <c r="I20" s="18" t="inlineStr">
        <is>
          <t>MCU Cortex-M0+, 48 MHz, 16 KB flash, 6 KB RAM</t>
        </is>
      </c>
      <c r="J20" s="18" t="inlineStr">
        <is>
          <t>Top</t>
        </is>
      </c>
      <c r="K20" s="18" t="inlineStr">
        <is>
          <t>Flow bridge: reads the PMW3901 on SPI, I2C target 0x3B on the Qwiic bus</t>
        </is>
      </c>
    </row>
    <row r="21" ht="15" customHeight="1" s="13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 ht="23.85" customHeight="1" s="13">
      <c r="A22" s="19" t="inlineStr">
        <is>
          <t>Total</t>
        </is>
      </c>
      <c r="B22" s="19">
        <f>SUM(B5:B20)</f>
        <v/>
      </c>
      <c r="C22" s="19" t="inlineStr">
        <is>
          <t>Total placements (assembled parts)</t>
        </is>
      </c>
      <c r="D22" s="19" t="inlineStr">
        <is>
          <t>-</t>
        </is>
      </c>
      <c r="E22" s="19">
        <f>COUNTA(E5:E20)</f>
        <v/>
      </c>
      <c r="F22" s="19" t="inlineStr">
        <is>
          <t>line items</t>
        </is>
      </c>
      <c r="G22" s="19" t="inlineStr">
        <is>
          <t>-</t>
        </is>
      </c>
      <c r="H22" s="19" t="inlineStr">
        <is>
          <t>-</t>
        </is>
      </c>
      <c r="I22" s="19" t="inlineStr">
        <is>
          <t>-</t>
        </is>
      </c>
      <c r="J22" s="19" t="inlineStr">
        <is>
          <t>-</t>
        </is>
      </c>
      <c r="K22" s="19" t="inlineStr">
        <is>
          <t>Not-assembled items listed below</t>
        </is>
      </c>
    </row>
    <row r="23" ht="15" customHeight="1" s="1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 ht="102.95" customHeight="1" s="13">
      <c r="A24" s="20" t="inlineStr">
        <is>
          <t>Not assembled (PCB features / DNP)</t>
        </is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 ht="15" customHeight="1" s="13">
      <c r="A25" s="17" t="inlineStr">
        <is>
          <t>Item</t>
        </is>
      </c>
      <c r="B25" s="17" t="inlineStr">
        <is>
          <t>Quantity</t>
        </is>
      </c>
      <c r="C25" s="17" t="inlineStr">
        <is>
          <t>Part Reference</t>
        </is>
      </c>
      <c r="D25" s="17" t="inlineStr">
        <is>
          <t>Value</t>
        </is>
      </c>
      <c r="E25" s="17" t="inlineStr">
        <is>
          <t>MPN</t>
        </is>
      </c>
      <c r="F25" s="17" t="inlineStr">
        <is>
          <t>Manufacturer</t>
        </is>
      </c>
      <c r="G25" s="17" t="inlineStr">
        <is>
          <t>LCSC / JLCPCB #</t>
        </is>
      </c>
      <c r="H25" s="17" t="inlineStr">
        <is>
          <t>Package</t>
        </is>
      </c>
      <c r="I25" s="17" t="inlineStr">
        <is>
          <t>Description</t>
        </is>
      </c>
      <c r="J25" s="17" t="inlineStr">
        <is>
          <t>Side</t>
        </is>
      </c>
      <c r="K25" s="17" t="inlineStr">
        <is>
          <t>Notes</t>
        </is>
      </c>
    </row>
    <row r="26" ht="15" customHeight="1" s="13">
      <c r="A26" s="18" t="inlineStr">
        <is>
          <t>NA1</t>
        </is>
      </c>
      <c r="B26" s="18" t="n">
        <v>2</v>
      </c>
      <c r="C26" s="18" t="inlineStr">
        <is>
          <t>H1, H2</t>
        </is>
      </c>
      <c r="D26" s="18" t="inlineStr">
        <is>
          <t>M2</t>
        </is>
      </c>
      <c r="E26" s="18" t="inlineStr">
        <is>
          <t>N/A (PCB feature)</t>
        </is>
      </c>
      <c r="F26" s="18" t="inlineStr">
        <is>
          <t>N/A</t>
        </is>
      </c>
      <c r="G26" s="18" t="inlineStr">
        <is>
          <t>N/A</t>
        </is>
      </c>
      <c r="H26" s="18" t="inlineStr">
        <is>
          <t>NPTH 2.2 mm</t>
        </is>
      </c>
      <c r="I26" s="18" t="inlineStr">
        <is>
          <t>Mounting hole, M2, 16 x 16 pattern</t>
        </is>
      </c>
      <c r="J26" s="18" t="inlineStr">
        <is>
          <t>Top</t>
        </is>
      </c>
      <c r="K26" s="18" t="inlineStr">
        <is>
          <t>Keep-out r 2.4 mm on both sides for the nylon screw / standoff</t>
        </is>
      </c>
    </row>
    <row r="27" ht="23.85" customHeight="1" s="13">
      <c r="A27" s="18" t="inlineStr">
        <is>
          <t>NA2</t>
        </is>
      </c>
      <c r="B27" s="18" t="n">
        <v>5</v>
      </c>
      <c r="C27" s="18" t="inlineStr">
        <is>
          <t>TP1, TP2, TP3, TP4, TP5</t>
        </is>
      </c>
      <c r="D27" s="18" t="inlineStr">
        <is>
          <t>Test pad</t>
        </is>
      </c>
      <c r="E27" s="18" t="inlineStr">
        <is>
          <t>N/A (PCB feature)</t>
        </is>
      </c>
      <c r="F27" s="18" t="inlineStr">
        <is>
          <t>N/A</t>
        </is>
      </c>
      <c r="G27" s="18" t="inlineStr">
        <is>
          <t>N/A</t>
        </is>
      </c>
      <c r="H27" s="18" t="inlineStr">
        <is>
          <t>SMD pad 1.0 mm</t>
        </is>
      </c>
      <c r="I27" s="18" t="inlineStr">
        <is>
          <t>SWD pads: SWDIO, SWCLK, NRST, 3.3 V, GND</t>
        </is>
      </c>
      <c r="J27" s="18" t="inlineStr">
        <is>
          <t>Top</t>
        </is>
      </c>
      <c r="K27" s="18" t="inlineStr">
        <is>
          <t>First programming of the STM32C011 with a pogo fixture or tag-connect style probe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2" min="1" max="1"/>
    <col width="10" customWidth="1" style="12" min="2" max="2"/>
    <col width="24" customWidth="1" style="12" min="3" max="4"/>
    <col width="13" customWidth="1" style="12" min="5" max="6"/>
    <col width="14" customWidth="1" style="12" min="7" max="8"/>
    <col width="16" customWidth="1" style="12" min="9" max="9"/>
  </cols>
  <sheetData>
    <row r="1" ht="72.34999999999999" customHeight="1" s="13">
      <c r="A1" s="14" t="inlineStr">
        <is>
          <t>ACwing Flow rev A - component costing (assembled parts, USD)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</row>
    <row r="2" ht="64.15000000000001" customHeight="1" s="13">
      <c r="A2" s="16" t="inlineStr">
        <is>
          <t>Blue = input prices; black = formulas. "Estimate" rows are typical distributor prices, not quotes. PCB, assembly fees and the cable are not included.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</row>
    <row r="3" ht="15" customHeight="1" s="1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</row>
    <row r="4" ht="23.85" customHeight="1" s="13">
      <c r="A4" s="17" t="inlineStr">
        <is>
          <t>References</t>
        </is>
      </c>
      <c r="B4" s="17" t="inlineStr">
        <is>
          <t>Qty / board</t>
        </is>
      </c>
      <c r="C4" s="17" t="inlineStr">
        <is>
          <t>MPN</t>
        </is>
      </c>
      <c r="D4" s="17" t="inlineStr">
        <is>
          <t>Source</t>
        </is>
      </c>
      <c r="E4" s="17" t="inlineStr">
        <is>
          <t>Unit price @10 boards</t>
        </is>
      </c>
      <c r="F4" s="17" t="inlineStr">
        <is>
          <t>Unit price @100 boards</t>
        </is>
      </c>
      <c r="G4" s="17" t="inlineStr">
        <is>
          <t>Cost / board @10</t>
        </is>
      </c>
      <c r="H4" s="17" t="inlineStr">
        <is>
          <t>Cost / board @100</t>
        </is>
      </c>
      <c r="I4" s="17" t="inlineStr">
        <is>
          <t>Price basis</t>
        </is>
      </c>
    </row>
    <row r="5" ht="15" customHeight="1" s="13">
      <c r="A5" s="18" t="inlineStr">
        <is>
          <t>C1, C2</t>
        </is>
      </c>
      <c r="B5" s="18" t="n">
        <v>2</v>
      </c>
      <c r="C5" s="18" t="inlineStr">
        <is>
          <t>CL10A226MQ8NRNC</t>
        </is>
      </c>
      <c r="D5" s="18" t="inlineStr">
        <is>
          <t>C59461</t>
        </is>
      </c>
      <c r="E5" s="21" t="n">
        <v>0.012</v>
      </c>
      <c r="F5" s="21" t="n">
        <v>0.01</v>
      </c>
      <c r="G5" s="22">
        <f>B5*E5</f>
        <v/>
      </c>
      <c r="H5" s="22">
        <f>B5*F5</f>
        <v/>
      </c>
      <c r="I5" s="18" t="inlineStr">
        <is>
          <t>Estimate</t>
        </is>
      </c>
    </row>
    <row r="6" ht="23.85" customHeight="1" s="13">
      <c r="A6" s="18" t="inlineStr">
        <is>
          <t>C3, C5, C7, C10, C12, C14</t>
        </is>
      </c>
      <c r="B6" s="18" t="n">
        <v>6</v>
      </c>
      <c r="C6" s="18" t="inlineStr">
        <is>
          <t>CL05B104KO5NNNC</t>
        </is>
      </c>
      <c r="D6" s="18" t="inlineStr">
        <is>
          <t>C1525</t>
        </is>
      </c>
      <c r="E6" s="21" t="n">
        <v>0.0049</v>
      </c>
      <c r="F6" s="21" t="n">
        <v>0.0049</v>
      </c>
      <c r="G6" s="22">
        <f>B6*E6</f>
        <v/>
      </c>
      <c r="H6" s="22">
        <f>B6*F6</f>
        <v/>
      </c>
      <c r="I6" s="18" t="inlineStr">
        <is>
          <t>LCSC quote</t>
        </is>
      </c>
    </row>
    <row r="7" ht="15" customHeight="1" s="13">
      <c r="A7" s="18" t="inlineStr">
        <is>
          <t>C4</t>
        </is>
      </c>
      <c r="B7" s="18" t="n">
        <v>1</v>
      </c>
      <c r="C7" s="18" t="inlineStr">
        <is>
          <t>CL10A106KP8NNNC</t>
        </is>
      </c>
      <c r="D7" s="18" t="inlineStr">
        <is>
          <t>C19702</t>
        </is>
      </c>
      <c r="E7" s="21" t="n">
        <v>0.0287</v>
      </c>
      <c r="F7" s="21" t="n">
        <v>0.0287</v>
      </c>
      <c r="G7" s="22">
        <f>B7*E7</f>
        <v/>
      </c>
      <c r="H7" s="22">
        <f>B7*F7</f>
        <v/>
      </c>
      <c r="I7" s="18" t="inlineStr">
        <is>
          <t>LCSC quote</t>
        </is>
      </c>
    </row>
    <row r="8" ht="15" customHeight="1" s="13">
      <c r="A8" s="18" t="inlineStr">
        <is>
          <t>C6, C11, C13</t>
        </is>
      </c>
      <c r="B8" s="18" t="n">
        <v>3</v>
      </c>
      <c r="C8" s="18" t="inlineStr">
        <is>
          <t>CL10A475KO8NNNC</t>
        </is>
      </c>
      <c r="D8" s="18" t="inlineStr">
        <is>
          <t>C19666</t>
        </is>
      </c>
      <c r="E8" s="21" t="n">
        <v>0.0205</v>
      </c>
      <c r="F8" s="21" t="n">
        <v>0.0159</v>
      </c>
      <c r="G8" s="22">
        <f>B8*E8</f>
        <v/>
      </c>
      <c r="H8" s="22">
        <f>B8*F8</f>
        <v/>
      </c>
      <c r="I8" s="18" t="inlineStr">
        <is>
          <t>LCSC quote</t>
        </is>
      </c>
    </row>
    <row r="9" ht="15" customHeight="1" s="13">
      <c r="A9" s="18" t="inlineStr">
        <is>
          <t>C8, C9</t>
        </is>
      </c>
      <c r="B9" s="18" t="n">
        <v>2</v>
      </c>
      <c r="C9" s="18" t="inlineStr">
        <is>
          <t>CL05A105KA5NQNC</t>
        </is>
      </c>
      <c r="D9" s="18" t="inlineStr">
        <is>
          <t>C52923</t>
        </is>
      </c>
      <c r="E9" s="21" t="n">
        <v>0.0068</v>
      </c>
      <c r="F9" s="21" t="n">
        <v>0.0068</v>
      </c>
      <c r="G9" s="22">
        <f>B9*E9</f>
        <v/>
      </c>
      <c r="H9" s="22">
        <f>B9*F9</f>
        <v/>
      </c>
      <c r="I9" s="18" t="inlineStr">
        <is>
          <t>LCSC quote</t>
        </is>
      </c>
    </row>
    <row r="10" ht="15" customHeight="1" s="13">
      <c r="A10" s="18" t="inlineStr">
        <is>
          <t>D1</t>
        </is>
      </c>
      <c r="B10" s="18" t="n">
        <v>1</v>
      </c>
      <c r="C10" s="18" t="inlineStr">
        <is>
          <t>XL-1005UGC</t>
        </is>
      </c>
      <c r="D10" s="18" t="inlineStr">
        <is>
          <t>C965793</t>
        </is>
      </c>
      <c r="E10" s="21" t="n">
        <v>0.012</v>
      </c>
      <c r="F10" s="21" t="n">
        <v>0.008</v>
      </c>
      <c r="G10" s="22">
        <f>B10*E10</f>
        <v/>
      </c>
      <c r="H10" s="22">
        <f>B10*F10</f>
        <v/>
      </c>
      <c r="I10" s="18" t="inlineStr">
        <is>
          <t>Estimate</t>
        </is>
      </c>
    </row>
    <row r="11" ht="15" customHeight="1" s="13">
      <c r="A11" s="18" t="inlineStr">
        <is>
          <t>J1, J2</t>
        </is>
      </c>
      <c r="B11" s="18" t="n">
        <v>2</v>
      </c>
      <c r="C11" s="18" t="inlineStr">
        <is>
          <t>SM04B-SRSS-TB(LF)(SN)</t>
        </is>
      </c>
      <c r="D11" s="18" t="inlineStr">
        <is>
          <t>C160404</t>
        </is>
      </c>
      <c r="E11" s="21" t="n">
        <v>0.25</v>
      </c>
      <c r="F11" s="21" t="n">
        <v>0.18</v>
      </c>
      <c r="G11" s="22">
        <f>B11*E11</f>
        <v/>
      </c>
      <c r="H11" s="22">
        <f>B11*F11</f>
        <v/>
      </c>
      <c r="I11" s="18" t="inlineStr">
        <is>
          <t>Estimate</t>
        </is>
      </c>
    </row>
    <row r="12" ht="15" customHeight="1" s="13">
      <c r="A12" s="18" t="inlineStr">
        <is>
          <t>R1</t>
        </is>
      </c>
      <c r="B12" s="18" t="n">
        <v>1</v>
      </c>
      <c r="C12" s="18" t="inlineStr">
        <is>
          <t>0402WGF300KTCE</t>
        </is>
      </c>
      <c r="D12" s="18" t="inlineStr">
        <is>
          <t>C423196</t>
        </is>
      </c>
      <c r="E12" s="21" t="n">
        <v>0.002</v>
      </c>
      <c r="F12" s="21" t="n">
        <v>0.002</v>
      </c>
      <c r="G12" s="22">
        <f>B12*E12</f>
        <v/>
      </c>
      <c r="H12" s="22">
        <f>B12*F12</f>
        <v/>
      </c>
      <c r="I12" s="18" t="inlineStr">
        <is>
          <t>Estimate</t>
        </is>
      </c>
    </row>
    <row r="13" ht="15" customHeight="1" s="13">
      <c r="A13" s="18" t="inlineStr">
        <is>
          <t>R2, R3, R4, R9, R10</t>
        </is>
      </c>
      <c r="B13" s="18" t="n">
        <v>5</v>
      </c>
      <c r="C13" s="18" t="inlineStr">
        <is>
          <t>0402WGF1002TCE</t>
        </is>
      </c>
      <c r="D13" s="18" t="inlineStr">
        <is>
          <t>C25744</t>
        </is>
      </c>
      <c r="E13" s="21" t="n">
        <v>0.002</v>
      </c>
      <c r="F13" s="21" t="n">
        <v>0.002</v>
      </c>
      <c r="G13" s="22">
        <f>B13*E13</f>
        <v/>
      </c>
      <c r="H13" s="22">
        <f>B13*F13</f>
        <v/>
      </c>
      <c r="I13" s="18" t="inlineStr">
        <is>
          <t>Estimate</t>
        </is>
      </c>
    </row>
    <row r="14" ht="15" customHeight="1" s="13">
      <c r="A14" s="18" t="inlineStr">
        <is>
          <t>R5</t>
        </is>
      </c>
      <c r="B14" s="18" t="n">
        <v>1</v>
      </c>
      <c r="C14" s="18" t="inlineStr">
        <is>
          <t>0402WGF1502TCE</t>
        </is>
      </c>
      <c r="D14" s="18" t="inlineStr">
        <is>
          <t>C25756</t>
        </is>
      </c>
      <c r="E14" s="21" t="n">
        <v>0.002</v>
      </c>
      <c r="F14" s="21" t="n">
        <v>0.002</v>
      </c>
      <c r="G14" s="22">
        <f>B14*E14</f>
        <v/>
      </c>
      <c r="H14" s="22">
        <f>B14*F14</f>
        <v/>
      </c>
      <c r="I14" s="18" t="inlineStr">
        <is>
          <t>Estimate</t>
        </is>
      </c>
    </row>
    <row r="15" ht="15" customHeight="1" s="13">
      <c r="A15" s="18" t="inlineStr">
        <is>
          <t>R6</t>
        </is>
      </c>
      <c r="B15" s="18" t="n">
        <v>1</v>
      </c>
      <c r="C15" s="18" t="inlineStr">
        <is>
          <t>0402WGF1002TCE</t>
        </is>
      </c>
      <c r="D15" s="18" t="inlineStr">
        <is>
          <t>C25744</t>
        </is>
      </c>
      <c r="E15" s="21" t="n">
        <v>0.002</v>
      </c>
      <c r="F15" s="21" t="n">
        <v>0.002</v>
      </c>
      <c r="G15" s="22">
        <f>B15*E15</f>
        <v/>
      </c>
      <c r="H15" s="22">
        <f>B15*F15</f>
        <v/>
      </c>
      <c r="I15" s="18" t="inlineStr">
        <is>
          <t>Estimate</t>
        </is>
      </c>
    </row>
    <row r="16" ht="15" customHeight="1" s="13">
      <c r="A16" s="18" t="inlineStr">
        <is>
          <t>R11</t>
        </is>
      </c>
      <c r="B16" s="18" t="n">
        <v>1</v>
      </c>
      <c r="C16" s="18" t="inlineStr">
        <is>
          <t>0402WGF1001TCE</t>
        </is>
      </c>
      <c r="D16" s="18" t="inlineStr">
        <is>
          <t>C11702</t>
        </is>
      </c>
      <c r="E16" s="21" t="n">
        <v>0.002</v>
      </c>
      <c r="F16" s="21" t="n">
        <v>0.002</v>
      </c>
      <c r="G16" s="22">
        <f>B16*E16</f>
        <v/>
      </c>
      <c r="H16" s="22">
        <f>B16*F16</f>
        <v/>
      </c>
      <c r="I16" s="18" t="inlineStr">
        <is>
          <t>Estimate</t>
        </is>
      </c>
    </row>
    <row r="17" ht="15" customHeight="1" s="13">
      <c r="A17" s="18" t="inlineStr">
        <is>
          <t>U1</t>
        </is>
      </c>
      <c r="B17" s="18" t="n">
        <v>1</v>
      </c>
      <c r="C17" s="18" t="inlineStr">
        <is>
          <t>PMW3901MB-TXQT</t>
        </is>
      </c>
      <c r="D17" s="18" t="inlineStr">
        <is>
          <t>C43496881</t>
        </is>
      </c>
      <c r="E17" s="21" t="n">
        <v>5.2</v>
      </c>
      <c r="F17" s="21" t="n">
        <v>4.6</v>
      </c>
      <c r="G17" s="22">
        <f>B17*E17</f>
        <v/>
      </c>
      <c r="H17" s="22">
        <f>B17*F17</f>
        <v/>
      </c>
      <c r="I17" s="18" t="inlineStr">
        <is>
          <t>Estimate</t>
        </is>
      </c>
    </row>
    <row r="18" ht="15" customHeight="1" s="13">
      <c r="A18" s="18" t="inlineStr">
        <is>
          <t>U2</t>
        </is>
      </c>
      <c r="B18" s="18" t="n">
        <v>1</v>
      </c>
      <c r="C18" s="18" t="inlineStr">
        <is>
          <t>LDK130PU-R</t>
        </is>
      </c>
      <c r="D18" s="18" t="inlineStr">
        <is>
          <t>C157446</t>
        </is>
      </c>
      <c r="E18" s="21" t="n">
        <v>0.4186</v>
      </c>
      <c r="F18" s="21" t="n">
        <v>0.3181</v>
      </c>
      <c r="G18" s="22">
        <f>B18*E18</f>
        <v/>
      </c>
      <c r="H18" s="22">
        <f>B18*F18</f>
        <v/>
      </c>
      <c r="I18" s="18" t="inlineStr">
        <is>
          <t>LCSC quote</t>
        </is>
      </c>
    </row>
    <row r="19" ht="15" customHeight="1" s="13">
      <c r="A19" s="18" t="inlineStr">
        <is>
          <t>U3</t>
        </is>
      </c>
      <c r="B19" s="18" t="n">
        <v>1</v>
      </c>
      <c r="C19" s="18" t="inlineStr">
        <is>
          <t>VL53L1CXV0FY/1</t>
        </is>
      </c>
      <c r="D19" s="18" t="inlineStr">
        <is>
          <t>C190004</t>
        </is>
      </c>
      <c r="E19" s="21" t="n">
        <v>3.2</v>
      </c>
      <c r="F19" s="21" t="n">
        <v>2.7</v>
      </c>
      <c r="G19" s="22">
        <f>B19*E19</f>
        <v/>
      </c>
      <c r="H19" s="22">
        <f>B19*F19</f>
        <v/>
      </c>
      <c r="I19" s="18" t="inlineStr">
        <is>
          <t>Estimate</t>
        </is>
      </c>
    </row>
    <row r="20" ht="15" customHeight="1" s="13">
      <c r="A20" s="18" t="inlineStr">
        <is>
          <t>U4</t>
        </is>
      </c>
      <c r="B20" s="18" t="n">
        <v>1</v>
      </c>
      <c r="C20" s="18" t="inlineStr">
        <is>
          <t>STM32C011F4U6TR</t>
        </is>
      </c>
      <c r="D20" s="18" t="inlineStr">
        <is>
          <t>C5456188</t>
        </is>
      </c>
      <c r="E20" s="21" t="n">
        <v>1.6331</v>
      </c>
      <c r="F20" s="21" t="n">
        <v>1.2305</v>
      </c>
      <c r="G20" s="22">
        <f>B20*E20</f>
        <v/>
      </c>
      <c r="H20" s="22">
        <f>B20*F20</f>
        <v/>
      </c>
      <c r="I20" s="18" t="inlineStr">
        <is>
          <t>LCSC quote</t>
        </is>
      </c>
    </row>
    <row r="21" ht="15" customHeight="1" s="13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 ht="15" customHeight="1" s="13">
      <c r="A22" s="19" t="inlineStr">
        <is>
          <t>Total per board</t>
        </is>
      </c>
      <c r="B22" s="19">
        <f>SUM(B5:B20)</f>
        <v/>
      </c>
      <c r="C22" s="19" t="n"/>
      <c r="D22" s="19" t="n"/>
      <c r="E22" s="19" t="n"/>
      <c r="F22" s="19" t="n"/>
      <c r="G22" s="23">
        <f>SUM(G5:G20)</f>
        <v/>
      </c>
      <c r="H22" s="23">
        <f>SUM(H5:H20)</f>
        <v/>
      </c>
      <c r="I22" s="19" t="n"/>
    </row>
    <row r="23" ht="35.05" customHeight="1" s="13">
      <c r="A23" s="15" t="inlineStr">
        <is>
          <t>Share of U1 (PMW3901)</t>
        </is>
      </c>
      <c r="B23" s="15" t="n"/>
      <c r="C23" s="15" t="n"/>
      <c r="D23" s="15" t="n"/>
      <c r="E23" s="15" t="n"/>
      <c r="F23" s="15" t="n"/>
      <c r="G23" s="24">
        <f>G17/G22</f>
        <v/>
      </c>
      <c r="H23" s="24">
        <f>H17/H22</f>
        <v/>
      </c>
      <c r="I23" s="15" t="inlineStr">
        <is>
          <t>The flow sensor is the largest single cost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2026-10-17T21:55:05Z</dcterms:created>
  <dcterms:modified xmlns:dcterms="http://purl.org/dc/terms/" xmlns:xsi="http://www.w3.org/2001/XMLSchema-instance" xsi:type="dcterms:W3CDTF">2026-10-19T14:35:24Z</dcterms:modified>
  <cp:revision>0</cp:revision>
</cp:coreProperties>
</file>