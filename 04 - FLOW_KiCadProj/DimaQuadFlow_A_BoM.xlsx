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Cost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<sst xmlns="http://schemas.openxmlformats.org/spreadsheetml/2006/main" count="276" uniqueCount="152">
  <si>
    <t xml:space="preserve">DimaQuadFlow rev A - assembly BoM (1 board)</t>
  </si>
  <si>
    <t xml:space="preserve">Source: DimaQuadFlow_A.kicad_sch / DimaQuadFlow_A.kicad_pcb. LCSC part numbers checked on 2026-10-17. Check the PMW3901 lens (LN03-ZSZ) supply before ordering.</t>
  </si>
  <si>
    <t xml:space="preserve">Item</t>
  </si>
  <si>
    <t xml:space="preserve">Quantity</t>
  </si>
  <si>
    <t xml:space="preserve">Part Reference</t>
  </si>
  <si>
    <t xml:space="preserve">Value</t>
  </si>
  <si>
    <t xml:space="preserve">MPN</t>
  </si>
  <si>
    <t xml:space="preserve">Manufacturer</t>
  </si>
  <si>
    <t xml:space="preserve">LCSC / JLCPCB #</t>
  </si>
  <si>
    <t xml:space="preserve">Package</t>
  </si>
  <si>
    <t xml:space="preserve">Description</t>
  </si>
  <si>
    <t xml:space="preserve">Side</t>
  </si>
  <si>
    <t xml:space="preserve">Notes</t>
  </si>
  <si>
    <t xml:space="preserve">C1, C2</t>
  </si>
  <si>
    <t xml:space="preserve">22uF</t>
  </si>
  <si>
    <t xml:space="preserve">CL10A226MQ8NRNC</t>
  </si>
  <si>
    <t xml:space="preserve">Samsung Electro-Mechanics</t>
  </si>
  <si>
    <t xml:space="preserve">C59461</t>
  </si>
  <si>
    <t xml:space="preserve">0603 (1608 metric)</t>
  </si>
  <si>
    <t xml:space="preserve">Capacitor, MLCC, 22 uF, 6.3 V, X5R</t>
  </si>
  <si>
    <t xml:space="preserve">Top</t>
  </si>
  <si>
    <t xml:space="preserve">PMW3901 VDD (PixArt reference)</t>
  </si>
  <si>
    <t xml:space="preserve">C3, C5, C7, C10, C12, C14</t>
  </si>
  <si>
    <t xml:space="preserve">100nF</t>
  </si>
  <si>
    <t xml:space="preserve">CL05B104KO5NNNC</t>
  </si>
  <si>
    <t xml:space="preserve">C1525</t>
  </si>
  <si>
    <t xml:space="preserve">0402 (1005 metric)</t>
  </si>
  <si>
    <t xml:space="preserve">Capacitor, MLCC, 100 nF, 16 V, X7R</t>
  </si>
  <si>
    <t xml:space="preserve">Decoupling</t>
  </si>
  <si>
    <t xml:space="preserve">C4</t>
  </si>
  <si>
    <t xml:space="preserve">10uF</t>
  </si>
  <si>
    <t xml:space="preserve">CL10A106KP8NNNC</t>
  </si>
  <si>
    <t xml:space="preserve">C19702</t>
  </si>
  <si>
    <t xml:space="preserve">Capacitor, MLCC, 10 uF, 10 V, X5R</t>
  </si>
  <si>
    <t xml:space="preserve">PMW3901 VDDIO</t>
  </si>
  <si>
    <t xml:space="preserve">C6, C11, C13</t>
  </si>
  <si>
    <t xml:space="preserve">4.7uF</t>
  </si>
  <si>
    <t xml:space="preserve">CL10A475KO8NNNC</t>
  </si>
  <si>
    <t xml:space="preserve">C19666</t>
  </si>
  <si>
    <t xml:space="preserve">Capacitor, MLCC, 4.7 uF, 16 V, X5R</t>
  </si>
  <si>
    <t xml:space="preserve">PMW3901 VREG, VL53L1X and MCU bulk</t>
  </si>
  <si>
    <t xml:space="preserve">C8, C9</t>
  </si>
  <si>
    <t xml:space="preserve">1uF</t>
  </si>
  <si>
    <t xml:space="preserve">CL05A105KA5NQNC</t>
  </si>
  <si>
    <t xml:space="preserve">C52923</t>
  </si>
  <si>
    <t xml:space="preserve">Capacitor, MLCC, 1 uF, 25 V, X5R</t>
  </si>
  <si>
    <t xml:space="preserve">LDO input / output</t>
  </si>
  <si>
    <t xml:space="preserve">D1</t>
  </si>
  <si>
    <t xml:space="preserve">green</t>
  </si>
  <si>
    <t xml:space="preserve">XL-1005UGC</t>
  </si>
  <si>
    <t xml:space="preserve">XINGLIGHT</t>
  </si>
  <si>
    <t xml:space="preserve">C965793</t>
  </si>
  <si>
    <t xml:space="preserve">LED, green, 0402</t>
  </si>
  <si>
    <t xml:space="preserve">Status LED (PA8)</t>
  </si>
  <si>
    <t xml:space="preserve">J1, J2</t>
  </si>
  <si>
    <t xml:space="preserve">Qwiic</t>
  </si>
  <si>
    <t xml:space="preserve">SM04B-SRSS-TB(LF)(SN)</t>
  </si>
  <si>
    <t xml:space="preserve">JST</t>
  </si>
  <si>
    <t xml:space="preserve">C160404</t>
  </si>
  <si>
    <t xml:space="preserve">JST SH 4P side entry, h 2.9 mm</t>
  </si>
  <si>
    <t xml:space="preserve">Connector, JST SH, 4 positions, 1.0 mm pitch, side entry</t>
  </si>
  <si>
    <t xml:space="preserve">Qwiic in/out (pass-through), left and right edges</t>
  </si>
  <si>
    <t xml:space="preserve">R1</t>
  </si>
  <si>
    <t xml:space="preserve">3R</t>
  </si>
  <si>
    <t xml:space="preserve">0402WGF300KTCE</t>
  </si>
  <si>
    <t xml:space="preserve">UNI-ROYAL</t>
  </si>
  <si>
    <t xml:space="preserve">C423196</t>
  </si>
  <si>
    <t xml:space="preserve">Resistor, 3 Ohm, 1 %, 1/16 W</t>
  </si>
  <si>
    <t xml:space="preserve">PMW3901 VDD filter (PixArt reference)</t>
  </si>
  <si>
    <t xml:space="preserve">R2, R3, R4, R9, R10</t>
  </si>
  <si>
    <t xml:space="preserve">10k</t>
  </si>
  <si>
    <t xml:space="preserve">0402WGF1002TCE</t>
  </si>
  <si>
    <t xml:space="preserve">C25744</t>
  </si>
  <si>
    <t xml:space="preserve">Resistor, 10 kOhm, 1 %, 1/16 W</t>
  </si>
  <si>
    <t xml:space="preserve">Pull-ups (NRESET, NCS, MOTION, XSHUT, INT)</t>
  </si>
  <si>
    <t xml:space="preserve">R5</t>
  </si>
  <si>
    <t xml:space="preserve">15k 1%</t>
  </si>
  <si>
    <t xml:space="preserve">0402WGF1502TCE</t>
  </si>
  <si>
    <t xml:space="preserve">C25756</t>
  </si>
  <si>
    <t xml:space="preserve">Resistor, 15 kOhm, 1 %, 1/16 W</t>
  </si>
  <si>
    <t xml:space="preserve">LDO divider, top</t>
  </si>
  <si>
    <t xml:space="preserve">R6</t>
  </si>
  <si>
    <t xml:space="preserve">10k 1%</t>
  </si>
  <si>
    <t xml:space="preserve">LDO divider, bottom</t>
  </si>
  <si>
    <t xml:space="preserve">R11</t>
  </si>
  <si>
    <t xml:space="preserve">1k</t>
  </si>
  <si>
    <t xml:space="preserve">0402WGF1001TCE</t>
  </si>
  <si>
    <t xml:space="preserve">C11702</t>
  </si>
  <si>
    <t xml:space="preserve">Resistor, 1 kOhm, 1 %, 1/16 W</t>
  </si>
  <si>
    <t xml:space="preserve">LED current</t>
  </si>
  <si>
    <t xml:space="preserve">U1</t>
  </si>
  <si>
    <t xml:space="preserve">PMW3901MB-TXQT</t>
  </si>
  <si>
    <t xml:space="preserve">PixArt Imaging</t>
  </si>
  <si>
    <t xml:space="preserve">C43496881</t>
  </si>
  <si>
    <t xml:space="preserve">COB-28 6 x 6 mm (lens 6 x 6 x 2.28)</t>
  </si>
  <si>
    <t xml:space="preserve">Optical flow sensor, far field (80 mm to infinity), SPI 2 MHz</t>
  </si>
  <si>
    <t xml:space="preserve">Needs the LN03-ZSZ lens assembly: check whether the LCSC/JLC part includes it, otherwise order the lens separately and fit it after reflow</t>
  </si>
  <si>
    <t xml:space="preserve">U2</t>
  </si>
  <si>
    <t xml:space="preserve">LDK130PU-R</t>
  </si>
  <si>
    <t xml:space="preserve">STMicroelectronics</t>
  </si>
  <si>
    <t xml:space="preserve">C157446</t>
  </si>
  <si>
    <t xml:space="preserve">DFN-6 1.2 x 1.3 mm</t>
  </si>
  <si>
    <t xml:space="preserve">LDO, adjustable, 300 mA</t>
  </si>
  <si>
    <t xml:space="preserve">PMW3901 VDD 2.0 V (R5/R6)</t>
  </si>
  <si>
    <t xml:space="preserve">U3</t>
  </si>
  <si>
    <t xml:space="preserve">VL53L1CXV0FY/1</t>
  </si>
  <si>
    <t xml:space="preserve">C190004</t>
  </si>
  <si>
    <t xml:space="preserve">LGA-12 4.9 x 2.5 x 1.56 mm</t>
  </si>
  <si>
    <t xml:space="preserve">Time-of-flight distance sensor, up to 4 m, I2C 0x29</t>
  </si>
  <si>
    <t xml:space="preserve">Height above ground; keep the cover-glass area clear (no window)</t>
  </si>
  <si>
    <t xml:space="preserve">U4</t>
  </si>
  <si>
    <t xml:space="preserve">STM32C011F4U6</t>
  </si>
  <si>
    <t xml:space="preserve">STM32C011F4U6TR</t>
  </si>
  <si>
    <t xml:space="preserve">C5456188</t>
  </si>
  <si>
    <t xml:space="preserve">UFQFPN-20 3 x 3 mm</t>
  </si>
  <si>
    <t xml:space="preserve">MCU Cortex-M0+, 48 MHz, 16 KB flash, 6 KB RAM</t>
  </si>
  <si>
    <t xml:space="preserve">Flow bridge: reads the PMW3901 on SPI, I2C target 0x3B on the Qwiic bus</t>
  </si>
  <si>
    <t xml:space="preserve">Total</t>
  </si>
  <si>
    <t xml:space="preserve">Total placements (assembled parts)</t>
  </si>
  <si>
    <t xml:space="preserve">-</t>
  </si>
  <si>
    <t xml:space="preserve">line items</t>
  </si>
  <si>
    <t xml:space="preserve">Not-assembled items listed below</t>
  </si>
  <si>
    <t xml:space="preserve">Not assembled (PCB features / DNP)</t>
  </si>
  <si>
    <t xml:space="preserve">NA1</t>
  </si>
  <si>
    <t xml:space="preserve">H1, H2</t>
  </si>
  <si>
    <t xml:space="preserve">M2</t>
  </si>
  <si>
    <t xml:space="preserve">N/A (PCB feature)</t>
  </si>
  <si>
    <t xml:space="preserve">N/A</t>
  </si>
  <si>
    <t xml:space="preserve">NPTH 2.2 mm</t>
  </si>
  <si>
    <t xml:space="preserve">Mounting hole, M2, 16 x 16 pattern</t>
  </si>
  <si>
    <t xml:space="preserve">Keep-out r 2.4 mm on both sides for the nylon screw / standoff</t>
  </si>
  <si>
    <t xml:space="preserve">NA2</t>
  </si>
  <si>
    <t xml:space="preserve">TP1, TP2, TP3, TP4, TP5</t>
  </si>
  <si>
    <t xml:space="preserve">Test pad</t>
  </si>
  <si>
    <t xml:space="preserve">SMD pad 1.0 mm</t>
  </si>
  <si>
    <t xml:space="preserve">SWD pads: SWDIO, SWCLK, NRST, 3.3 V, GND</t>
  </si>
  <si>
    <t xml:space="preserve">First programming of the STM32C011 with a pogo fixture or tag-connect style probe</t>
  </si>
  <si>
    <t xml:space="preserve">DimaQuadFlow rev A - component costing (assembled parts, USD)</t>
  </si>
  <si>
    <t xml:space="preserve">Blue = input prices; black = formulas. "Estimate" rows are typical distributor prices, not quotes. PCB, assembly fees and the cable are not included.</t>
  </si>
  <si>
    <t xml:space="preserve">References</t>
  </si>
  <si>
    <t xml:space="preserve">Qty / board</t>
  </si>
  <si>
    <t xml:space="preserve">Source</t>
  </si>
  <si>
    <t xml:space="preserve">Unit price @10 boards</t>
  </si>
  <si>
    <t xml:space="preserve">Unit price @100 boards</t>
  </si>
  <si>
    <t xml:space="preserve">Cost / board @10</t>
  </si>
  <si>
    <t xml:space="preserve">Cost / board @100</t>
  </si>
  <si>
    <t xml:space="preserve">Price basis</t>
  </si>
  <si>
    <t xml:space="preserve">Estimate</t>
  </si>
  <si>
    <t xml:space="preserve">LCSC quote</t>
  </si>
  <si>
    <t xml:space="preserve">Total per board</t>
  </si>
  <si>
    <t xml:space="preserve">Share of U1 (PMW3901)</t>
  </si>
  <si>
    <t xml:space="preserve">The flow sensor is the largest single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</si>
</sst>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0"/>
    <numFmt numFmtId="166" formatCode="\$#,##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40"/>
    <col collapsed="false" customWidth="true" hidden="false" outlineLevel="0" max="10" min="10" style="0" width="9"/>
    <col collapsed="false" customWidth="true" hidden="false" outlineLevel="0" max="11" min="11" style="0" width="60"/>
  </cols>
  <sheetData>
    <row r="1" customFormat="false" ht="171.6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25.3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3.85" hidden="false" customHeight="false" outlineLevel="0" collapsed="false">
      <c r="A5" s="5" t="n">
        <v>1</v>
      </c>
      <c r="B5" s="5" t="n">
        <v>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5" t="s">
        <v>21</v>
      </c>
    </row>
    <row r="6" customFormat="false" ht="23.85" hidden="false" customHeight="false" outlineLevel="0" collapsed="false">
      <c r="A6" s="5" t="n">
        <v>2</v>
      </c>
      <c r="B6" s="5" t="n">
        <v>6</v>
      </c>
      <c r="C6" s="5" t="s">
        <v>22</v>
      </c>
      <c r="D6" s="5" t="s">
        <v>23</v>
      </c>
      <c r="E6" s="5" t="s">
        <v>24</v>
      </c>
      <c r="F6" s="5" t="s">
        <v>16</v>
      </c>
      <c r="G6" s="5" t="s">
        <v>25</v>
      </c>
      <c r="H6" s="5" t="s">
        <v>26</v>
      </c>
      <c r="I6" s="5" t="s">
        <v>27</v>
      </c>
      <c r="J6" s="5" t="s">
        <v>20</v>
      </c>
      <c r="K6" s="5" t="s">
        <v>28</v>
      </c>
    </row>
    <row r="7" customFormat="false" ht="23.85" hidden="false" customHeight="false" outlineLevel="0" collapsed="false">
      <c r="A7" s="5" t="n">
        <v>3</v>
      </c>
      <c r="B7" s="5" t="n">
        <v>1</v>
      </c>
      <c r="C7" s="5" t="s">
        <v>29</v>
      </c>
      <c r="D7" s="5" t="s">
        <v>30</v>
      </c>
      <c r="E7" s="5" t="s">
        <v>31</v>
      </c>
      <c r="F7" s="5" t="s">
        <v>16</v>
      </c>
      <c r="G7" s="5" t="s">
        <v>32</v>
      </c>
      <c r="H7" s="5" t="s">
        <v>18</v>
      </c>
      <c r="I7" s="5" t="s">
        <v>33</v>
      </c>
      <c r="J7" s="5" t="s">
        <v>20</v>
      </c>
      <c r="K7" s="5" t="s">
        <v>34</v>
      </c>
    </row>
    <row r="8" customFormat="false" ht="23.85" hidden="false" customHeight="false" outlineLevel="0" collapsed="false">
      <c r="A8" s="5" t="n">
        <v>4</v>
      </c>
      <c r="B8" s="5" t="n">
        <v>3</v>
      </c>
      <c r="C8" s="5" t="s">
        <v>35</v>
      </c>
      <c r="D8" s="5" t="s">
        <v>36</v>
      </c>
      <c r="E8" s="5" t="s">
        <v>37</v>
      </c>
      <c r="F8" s="5" t="s">
        <v>16</v>
      </c>
      <c r="G8" s="5" t="s">
        <v>38</v>
      </c>
      <c r="H8" s="5" t="s">
        <v>18</v>
      </c>
      <c r="I8" s="5" t="s">
        <v>39</v>
      </c>
      <c r="J8" s="5" t="s">
        <v>20</v>
      </c>
      <c r="K8" s="5" t="s">
        <v>40</v>
      </c>
    </row>
    <row r="9" customFormat="false" ht="23.85" hidden="false" customHeight="false" outlineLevel="0" collapsed="false">
      <c r="A9" s="5" t="n">
        <v>5</v>
      </c>
      <c r="B9" s="5" t="n">
        <v>2</v>
      </c>
      <c r="C9" s="5" t="s">
        <v>41</v>
      </c>
      <c r="D9" s="5" t="s">
        <v>42</v>
      </c>
      <c r="E9" s="5" t="s">
        <v>43</v>
      </c>
      <c r="F9" s="5" t="s">
        <v>16</v>
      </c>
      <c r="G9" s="5" t="s">
        <v>44</v>
      </c>
      <c r="H9" s="5" t="s">
        <v>26</v>
      </c>
      <c r="I9" s="5" t="s">
        <v>45</v>
      </c>
      <c r="J9" s="5" t="s">
        <v>20</v>
      </c>
      <c r="K9" s="5" t="s">
        <v>46</v>
      </c>
    </row>
    <row r="10" customFormat="false" ht="15" hidden="false" customHeight="false" outlineLevel="0" collapsed="false">
      <c r="A10" s="5" t="n">
        <v>6</v>
      </c>
      <c r="B10" s="5" t="n">
        <v>1</v>
      </c>
      <c r="C10" s="5" t="s">
        <v>47</v>
      </c>
      <c r="D10" s="5" t="s">
        <v>48</v>
      </c>
      <c r="E10" s="5" t="s">
        <v>49</v>
      </c>
      <c r="F10" s="5" t="s">
        <v>50</v>
      </c>
      <c r="G10" s="5" t="s">
        <v>51</v>
      </c>
      <c r="H10" s="5" t="s">
        <v>26</v>
      </c>
      <c r="I10" s="5" t="s">
        <v>52</v>
      </c>
      <c r="J10" s="5" t="s">
        <v>20</v>
      </c>
      <c r="K10" s="5" t="s">
        <v>53</v>
      </c>
    </row>
    <row r="11" customFormat="false" ht="23.85" hidden="false" customHeight="false" outlineLevel="0" collapsed="false">
      <c r="A11" s="5" t="n">
        <v>7</v>
      </c>
      <c r="B11" s="5" t="n">
        <v>2</v>
      </c>
      <c r="C11" s="5" t="s">
        <v>54</v>
      </c>
      <c r="D11" s="5" t="s">
        <v>55</v>
      </c>
      <c r="E11" s="5" t="s">
        <v>56</v>
      </c>
      <c r="F11" s="5" t="s">
        <v>57</v>
      </c>
      <c r="G11" s="5" t="s">
        <v>58</v>
      </c>
      <c r="H11" s="5" t="s">
        <v>59</v>
      </c>
      <c r="I11" s="5" t="s">
        <v>60</v>
      </c>
      <c r="J11" s="5" t="s">
        <v>20</v>
      </c>
      <c r="K11" s="5" t="s">
        <v>61</v>
      </c>
    </row>
    <row r="12" customFormat="false" ht="15" hidden="false" customHeight="false" outlineLevel="0" collapsed="false">
      <c r="A12" s="5" t="n">
        <v>8</v>
      </c>
      <c r="B12" s="5" t="n">
        <v>1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26</v>
      </c>
      <c r="I12" s="5" t="s">
        <v>67</v>
      </c>
      <c r="J12" s="5" t="s">
        <v>20</v>
      </c>
      <c r="K12" s="5" t="s">
        <v>68</v>
      </c>
    </row>
    <row r="13" customFormat="false" ht="15" hidden="false" customHeight="false" outlineLevel="0" collapsed="false">
      <c r="A13" s="5" t="n">
        <v>9</v>
      </c>
      <c r="B13" s="5" t="n">
        <v>5</v>
      </c>
      <c r="C13" s="5" t="s">
        <v>69</v>
      </c>
      <c r="D13" s="5" t="s">
        <v>70</v>
      </c>
      <c r="E13" s="5" t="s">
        <v>71</v>
      </c>
      <c r="F13" s="5" t="s">
        <v>65</v>
      </c>
      <c r="G13" s="5" t="s">
        <v>72</v>
      </c>
      <c r="H13" s="5" t="s">
        <v>26</v>
      </c>
      <c r="I13" s="5" t="s">
        <v>73</v>
      </c>
      <c r="J13" s="5" t="s">
        <v>20</v>
      </c>
      <c r="K13" s="5" t="s">
        <v>74</v>
      </c>
    </row>
    <row r="14" customFormat="false" ht="15" hidden="false" customHeight="false" outlineLevel="0" collapsed="false">
      <c r="A14" s="5" t="n">
        <v>10</v>
      </c>
      <c r="B14" s="5" t="n">
        <v>1</v>
      </c>
      <c r="C14" s="5" t="s">
        <v>75</v>
      </c>
      <c r="D14" s="5" t="s">
        <v>76</v>
      </c>
      <c r="E14" s="5" t="s">
        <v>77</v>
      </c>
      <c r="F14" s="5" t="s">
        <v>65</v>
      </c>
      <c r="G14" s="5" t="s">
        <v>78</v>
      </c>
      <c r="H14" s="5" t="s">
        <v>26</v>
      </c>
      <c r="I14" s="5" t="s">
        <v>79</v>
      </c>
      <c r="J14" s="5" t="s">
        <v>20</v>
      </c>
      <c r="K14" s="5" t="s">
        <v>80</v>
      </c>
    </row>
    <row r="15" customFormat="false" ht="15" hidden="false" customHeight="false" outlineLevel="0" collapsed="false">
      <c r="A15" s="5" t="n">
        <v>11</v>
      </c>
      <c r="B15" s="5" t="n">
        <v>1</v>
      </c>
      <c r="C15" s="5" t="s">
        <v>81</v>
      </c>
      <c r="D15" s="5" t="s">
        <v>82</v>
      </c>
      <c r="E15" s="5" t="s">
        <v>71</v>
      </c>
      <c r="F15" s="5" t="s">
        <v>65</v>
      </c>
      <c r="G15" s="5" t="s">
        <v>72</v>
      </c>
      <c r="H15" s="5" t="s">
        <v>26</v>
      </c>
      <c r="I15" s="5" t="s">
        <v>73</v>
      </c>
      <c r="J15" s="5" t="s">
        <v>20</v>
      </c>
      <c r="K15" s="5" t="s">
        <v>83</v>
      </c>
    </row>
    <row r="16" customFormat="false" ht="15" hidden="false" customHeight="false" outlineLevel="0" collapsed="false">
      <c r="A16" s="5" t="n">
        <v>12</v>
      </c>
      <c r="B16" s="5" t="n">
        <v>1</v>
      </c>
      <c r="C16" s="5" t="s">
        <v>84</v>
      </c>
      <c r="D16" s="5" t="s">
        <v>85</v>
      </c>
      <c r="E16" s="5" t="s">
        <v>86</v>
      </c>
      <c r="F16" s="5" t="s">
        <v>65</v>
      </c>
      <c r="G16" s="5" t="s">
        <v>87</v>
      </c>
      <c r="H16" s="5" t="s">
        <v>26</v>
      </c>
      <c r="I16" s="5" t="s">
        <v>88</v>
      </c>
      <c r="J16" s="5" t="s">
        <v>20</v>
      </c>
      <c r="K16" s="5" t="s">
        <v>89</v>
      </c>
    </row>
    <row r="17" customFormat="false" ht="23.85" hidden="false" customHeight="false" outlineLevel="0" collapsed="false">
      <c r="A17" s="5" t="n">
        <v>13</v>
      </c>
      <c r="B17" s="5" t="n">
        <v>1</v>
      </c>
      <c r="C17" s="5" t="s">
        <v>90</v>
      </c>
      <c r="D17" s="5" t="s">
        <v>91</v>
      </c>
      <c r="E17" s="5" t="s">
        <v>91</v>
      </c>
      <c r="F17" s="5" t="s">
        <v>92</v>
      </c>
      <c r="G17" s="5" t="s">
        <v>93</v>
      </c>
      <c r="H17" s="5" t="s">
        <v>94</v>
      </c>
      <c r="I17" s="5" t="s">
        <v>95</v>
      </c>
      <c r="J17" s="5" t="s">
        <v>20</v>
      </c>
      <c r="K17" s="5" t="s">
        <v>96</v>
      </c>
    </row>
    <row r="18" customFormat="false" ht="15" hidden="false" customHeight="false" outlineLevel="0" collapsed="false">
      <c r="A18" s="5" t="n">
        <v>14</v>
      </c>
      <c r="B18" s="5" t="n">
        <v>1</v>
      </c>
      <c r="C18" s="5" t="s">
        <v>97</v>
      </c>
      <c r="D18" s="5" t="s">
        <v>98</v>
      </c>
      <c r="E18" s="5" t="s">
        <v>98</v>
      </c>
      <c r="F18" s="5" t="s">
        <v>99</v>
      </c>
      <c r="G18" s="5" t="s">
        <v>100</v>
      </c>
      <c r="H18" s="5" t="s">
        <v>101</v>
      </c>
      <c r="I18" s="5" t="s">
        <v>102</v>
      </c>
      <c r="J18" s="5" t="s">
        <v>20</v>
      </c>
      <c r="K18" s="5" t="s">
        <v>103</v>
      </c>
    </row>
    <row r="19" customFormat="false" ht="23.85" hidden="false" customHeight="false" outlineLevel="0" collapsed="false">
      <c r="A19" s="5" t="n">
        <v>15</v>
      </c>
      <c r="B19" s="5" t="n">
        <v>1</v>
      </c>
      <c r="C19" s="5" t="s">
        <v>104</v>
      </c>
      <c r="D19" s="5" t="s">
        <v>105</v>
      </c>
      <c r="E19" s="5" t="s">
        <v>105</v>
      </c>
      <c r="F19" s="5" t="s">
        <v>99</v>
      </c>
      <c r="G19" s="5" t="s">
        <v>106</v>
      </c>
      <c r="H19" s="5" t="s">
        <v>107</v>
      </c>
      <c r="I19" s="5" t="s">
        <v>108</v>
      </c>
      <c r="J19" s="5" t="s">
        <v>20</v>
      </c>
      <c r="K19" s="5" t="s">
        <v>109</v>
      </c>
    </row>
    <row r="20" customFormat="false" ht="23.85" hidden="false" customHeight="false" outlineLevel="0" collapsed="false">
      <c r="A20" s="5" t="n">
        <v>16</v>
      </c>
      <c r="B20" s="5" t="n">
        <v>1</v>
      </c>
      <c r="C20" s="5" t="s">
        <v>110</v>
      </c>
      <c r="D20" s="5" t="s">
        <v>111</v>
      </c>
      <c r="E20" s="5" t="s">
        <v>112</v>
      </c>
      <c r="F20" s="5" t="s">
        <v>99</v>
      </c>
      <c r="G20" s="5" t="s">
        <v>113</v>
      </c>
      <c r="H20" s="5" t="s">
        <v>114</v>
      </c>
      <c r="I20" s="5" t="s">
        <v>115</v>
      </c>
      <c r="J20" s="5" t="s">
        <v>20</v>
      </c>
      <c r="K20" s="5" t="s">
        <v>116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23.85" hidden="false" customHeight="false" outlineLevel="0" collapsed="false">
      <c r="A22" s="6" t="s">
        <v>117</v>
      </c>
      <c r="B22" s="6" t="n">
        <f aca="false">SUM(B5:B20)</f>
        <v>30</v>
      </c>
      <c r="C22" s="6" t="s">
        <v>118</v>
      </c>
      <c r="D22" s="6" t="s">
        <v>119</v>
      </c>
      <c r="E22" s="6" t="n">
        <f aca="false">COUNTA(E5:E20)</f>
        <v>16</v>
      </c>
      <c r="F22" s="6" t="s">
        <v>120</v>
      </c>
      <c r="G22" s="6" t="s">
        <v>119</v>
      </c>
      <c r="H22" s="6" t="s">
        <v>119</v>
      </c>
      <c r="I22" s="6" t="s">
        <v>119</v>
      </c>
      <c r="J22" s="6" t="s">
        <v>119</v>
      </c>
      <c r="K22" s="6" t="s">
        <v>121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customFormat="false" ht="102.95" hidden="false" customHeight="false" outlineLevel="0" collapsed="false">
      <c r="A24" s="7" t="s">
        <v>122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4" t="s">
        <v>2</v>
      </c>
      <c r="B25" s="4" t="s">
        <v>3</v>
      </c>
      <c r="C25" s="4" t="s">
        <v>4</v>
      </c>
      <c r="D25" s="4" t="s">
        <v>5</v>
      </c>
      <c r="E25" s="4" t="s">
        <v>6</v>
      </c>
      <c r="F25" s="4" t="s">
        <v>7</v>
      </c>
      <c r="G25" s="4" t="s">
        <v>8</v>
      </c>
      <c r="H25" s="4" t="s">
        <v>9</v>
      </c>
      <c r="I25" s="4" t="s">
        <v>10</v>
      </c>
      <c r="J25" s="4" t="s">
        <v>11</v>
      </c>
      <c r="K25" s="4" t="s">
        <v>12</v>
      </c>
    </row>
    <row r="26" customFormat="false" ht="15" hidden="false" customHeight="false" outlineLevel="0" collapsed="false">
      <c r="A26" s="5" t="s">
        <v>123</v>
      </c>
      <c r="B26" s="5" t="n">
        <v>2</v>
      </c>
      <c r="C26" s="5" t="s">
        <v>124</v>
      </c>
      <c r="D26" s="5" t="s">
        <v>125</v>
      </c>
      <c r="E26" s="5" t="s">
        <v>126</v>
      </c>
      <c r="F26" s="5" t="s">
        <v>127</v>
      </c>
      <c r="G26" s="5" t="s">
        <v>127</v>
      </c>
      <c r="H26" s="5" t="s">
        <v>128</v>
      </c>
      <c r="I26" s="5" t="s">
        <v>129</v>
      </c>
      <c r="J26" s="5" t="s">
        <v>20</v>
      </c>
      <c r="K26" s="5" t="s">
        <v>130</v>
      </c>
    </row>
    <row r="27" customFormat="false" ht="23.85" hidden="false" customHeight="false" outlineLevel="0" collapsed="false">
      <c r="A27" s="5" t="s">
        <v>131</v>
      </c>
      <c r="B27" s="5" t="n">
        <v>5</v>
      </c>
      <c r="C27" s="5" t="s">
        <v>132</v>
      </c>
      <c r="D27" s="5" t="s">
        <v>133</v>
      </c>
      <c r="E27" s="5" t="s">
        <v>126</v>
      </c>
      <c r="F27" s="5" t="s">
        <v>127</v>
      </c>
      <c r="G27" s="5" t="s">
        <v>127</v>
      </c>
      <c r="H27" s="5" t="s">
        <v>134</v>
      </c>
      <c r="I27" s="5" t="s">
        <v>135</v>
      </c>
      <c r="J27" s="5" t="s">
        <v>20</v>
      </c>
      <c r="K27" s="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24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6"/>
  </cols>
  <sheetData>
    <row r="1" customFormat="false" ht="72.35" hidden="false" customHeight="false" outlineLevel="0" collapsed="false">
      <c r="A1" s="1" t="s">
        <v>137</v>
      </c>
      <c r="B1" s="2"/>
      <c r="C1" s="2"/>
      <c r="D1" s="2"/>
      <c r="E1" s="2"/>
      <c r="F1" s="2"/>
      <c r="G1" s="2"/>
      <c r="H1" s="2"/>
      <c r="I1" s="2"/>
    </row>
    <row r="2" customFormat="false" ht="64.15" hidden="false" customHeight="false" outlineLevel="0" collapsed="false">
      <c r="A2" s="3" t="s">
        <v>138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3.85" hidden="false" customHeight="false" outlineLevel="0" collapsed="false">
      <c r="A4" s="4" t="s">
        <v>139</v>
      </c>
      <c r="B4" s="4" t="s">
        <v>140</v>
      </c>
      <c r="C4" s="4" t="s">
        <v>6</v>
      </c>
      <c r="D4" s="4" t="s">
        <v>141</v>
      </c>
      <c r="E4" s="4" t="s">
        <v>142</v>
      </c>
      <c r="F4" s="4" t="s">
        <v>143</v>
      </c>
      <c r="G4" s="4" t="s">
        <v>144</v>
      </c>
      <c r="H4" s="4" t="s">
        <v>145</v>
      </c>
      <c r="I4" s="4" t="s">
        <v>146</v>
      </c>
    </row>
    <row r="5" customFormat="false" ht="15" hidden="false" customHeight="false" outlineLevel="0" collapsed="false">
      <c r="A5" s="5" t="s">
        <v>13</v>
      </c>
      <c r="B5" s="5" t="n">
        <v>2</v>
      </c>
      <c r="C5" s="5" t="s">
        <v>15</v>
      </c>
      <c r="D5" s="5" t="s">
        <v>17</v>
      </c>
      <c r="E5" s="8" t="n">
        <v>0.012</v>
      </c>
      <c r="F5" s="8" t="n">
        <v>0.01</v>
      </c>
      <c r="G5" s="9" t="n">
        <f aca="false">B5*E5</f>
        <v>0.024</v>
      </c>
      <c r="H5" s="9" t="n">
        <f aca="false">B5*F5</f>
        <v>0.02</v>
      </c>
      <c r="I5" s="5" t="s">
        <v>147</v>
      </c>
    </row>
    <row r="6" customFormat="false" ht="23.85" hidden="false" customHeight="false" outlineLevel="0" collapsed="false">
      <c r="A6" s="5" t="s">
        <v>22</v>
      </c>
      <c r="B6" s="5" t="n">
        <v>6</v>
      </c>
      <c r="C6" s="5" t="s">
        <v>24</v>
      </c>
      <c r="D6" s="5" t="s">
        <v>25</v>
      </c>
      <c r="E6" s="8" t="n">
        <v>0.0049</v>
      </c>
      <c r="F6" s="8" t="n">
        <v>0.0049</v>
      </c>
      <c r="G6" s="9" t="n">
        <f aca="false">B6*E6</f>
        <v>0.0294</v>
      </c>
      <c r="H6" s="9" t="n">
        <f aca="false">B6*F6</f>
        <v>0.0294</v>
      </c>
      <c r="I6" s="5" t="s">
        <v>148</v>
      </c>
    </row>
    <row r="7" customFormat="false" ht="15" hidden="false" customHeight="false" outlineLevel="0" collapsed="false">
      <c r="A7" s="5" t="s">
        <v>29</v>
      </c>
      <c r="B7" s="5" t="n">
        <v>1</v>
      </c>
      <c r="C7" s="5" t="s">
        <v>31</v>
      </c>
      <c r="D7" s="5" t="s">
        <v>32</v>
      </c>
      <c r="E7" s="8" t="n">
        <v>0.0287</v>
      </c>
      <c r="F7" s="8" t="n">
        <v>0.0287</v>
      </c>
      <c r="G7" s="9" t="n">
        <f aca="false">B7*E7</f>
        <v>0.0287</v>
      </c>
      <c r="H7" s="9" t="n">
        <f aca="false">B7*F7</f>
        <v>0.0287</v>
      </c>
      <c r="I7" s="5" t="s">
        <v>148</v>
      </c>
    </row>
    <row r="8" customFormat="false" ht="15" hidden="false" customHeight="false" outlineLevel="0" collapsed="false">
      <c r="A8" s="5" t="s">
        <v>35</v>
      </c>
      <c r="B8" s="5" t="n">
        <v>3</v>
      </c>
      <c r="C8" s="5" t="s">
        <v>37</v>
      </c>
      <c r="D8" s="5" t="s">
        <v>38</v>
      </c>
      <c r="E8" s="8" t="n">
        <v>0.0205</v>
      </c>
      <c r="F8" s="8" t="n">
        <v>0.0159</v>
      </c>
      <c r="G8" s="9" t="n">
        <f aca="false">B8*E8</f>
        <v>0.0615</v>
      </c>
      <c r="H8" s="9" t="n">
        <f aca="false">B8*F8</f>
        <v>0.0477</v>
      </c>
      <c r="I8" s="5" t="s">
        <v>148</v>
      </c>
    </row>
    <row r="9" customFormat="false" ht="15" hidden="false" customHeight="false" outlineLevel="0" collapsed="false">
      <c r="A9" s="5" t="s">
        <v>41</v>
      </c>
      <c r="B9" s="5" t="n">
        <v>2</v>
      </c>
      <c r="C9" s="5" t="s">
        <v>43</v>
      </c>
      <c r="D9" s="5" t="s">
        <v>44</v>
      </c>
      <c r="E9" s="8" t="n">
        <v>0.0068</v>
      </c>
      <c r="F9" s="8" t="n">
        <v>0.0068</v>
      </c>
      <c r="G9" s="9" t="n">
        <f aca="false">B9*E9</f>
        <v>0.0136</v>
      </c>
      <c r="H9" s="9" t="n">
        <f aca="false">B9*F9</f>
        <v>0.0136</v>
      </c>
      <c r="I9" s="5" t="s">
        <v>148</v>
      </c>
    </row>
    <row r="10" customFormat="false" ht="15" hidden="false" customHeight="false" outlineLevel="0" collapsed="false">
      <c r="A10" s="5" t="s">
        <v>47</v>
      </c>
      <c r="B10" s="5" t="n">
        <v>1</v>
      </c>
      <c r="C10" s="5" t="s">
        <v>49</v>
      </c>
      <c r="D10" s="5" t="s">
        <v>51</v>
      </c>
      <c r="E10" s="8" t="n">
        <v>0.012</v>
      </c>
      <c r="F10" s="8" t="n">
        <v>0.008</v>
      </c>
      <c r="G10" s="9" t="n">
        <f aca="false">B10*E10</f>
        <v>0.012</v>
      </c>
      <c r="H10" s="9" t="n">
        <f aca="false">B10*F10</f>
        <v>0.008</v>
      </c>
      <c r="I10" s="5" t="s">
        <v>147</v>
      </c>
    </row>
    <row r="11" customFormat="false" ht="15" hidden="false" customHeight="false" outlineLevel="0" collapsed="false">
      <c r="A11" s="5" t="s">
        <v>54</v>
      </c>
      <c r="B11" s="5" t="n">
        <v>2</v>
      </c>
      <c r="C11" s="5" t="s">
        <v>56</v>
      </c>
      <c r="D11" s="5" t="s">
        <v>58</v>
      </c>
      <c r="E11" s="8" t="n">
        <v>0.25</v>
      </c>
      <c r="F11" s="8" t="n">
        <v>0.18</v>
      </c>
      <c r="G11" s="9" t="n">
        <f aca="false">B11*E11</f>
        <v>0.5</v>
      </c>
      <c r="H11" s="9" t="n">
        <f aca="false">B11*F11</f>
        <v>0.36</v>
      </c>
      <c r="I11" s="5" t="s">
        <v>147</v>
      </c>
    </row>
    <row r="12" customFormat="false" ht="15" hidden="false" customHeight="false" outlineLevel="0" collapsed="false">
      <c r="A12" s="5" t="s">
        <v>62</v>
      </c>
      <c r="B12" s="5" t="n">
        <v>1</v>
      </c>
      <c r="C12" s="5" t="s">
        <v>64</v>
      </c>
      <c r="D12" s="5" t="s">
        <v>66</v>
      </c>
      <c r="E12" s="8" t="n">
        <v>0.002</v>
      </c>
      <c r="F12" s="8" t="n">
        <v>0.002</v>
      </c>
      <c r="G12" s="9" t="n">
        <f aca="false">B12*E12</f>
        <v>0.002</v>
      </c>
      <c r="H12" s="9" t="n">
        <f aca="false">B12*F12</f>
        <v>0.002</v>
      </c>
      <c r="I12" s="5" t="s">
        <v>147</v>
      </c>
    </row>
    <row r="13" customFormat="false" ht="15" hidden="false" customHeight="false" outlineLevel="0" collapsed="false">
      <c r="A13" s="5" t="s">
        <v>69</v>
      </c>
      <c r="B13" s="5" t="n">
        <v>5</v>
      </c>
      <c r="C13" s="5" t="s">
        <v>71</v>
      </c>
      <c r="D13" s="5" t="s">
        <v>72</v>
      </c>
      <c r="E13" s="8" t="n">
        <v>0.002</v>
      </c>
      <c r="F13" s="8" t="n">
        <v>0.002</v>
      </c>
      <c r="G13" s="9" t="n">
        <f aca="false">B13*E13</f>
        <v>0.01</v>
      </c>
      <c r="H13" s="9" t="n">
        <f aca="false">B13*F13</f>
        <v>0.01</v>
      </c>
      <c r="I13" s="5" t="s">
        <v>147</v>
      </c>
    </row>
    <row r="14" customFormat="false" ht="15" hidden="false" customHeight="false" outlineLevel="0" collapsed="false">
      <c r="A14" s="5" t="s">
        <v>75</v>
      </c>
      <c r="B14" s="5" t="n">
        <v>1</v>
      </c>
      <c r="C14" s="5" t="s">
        <v>77</v>
      </c>
      <c r="D14" s="5" t="s">
        <v>78</v>
      </c>
      <c r="E14" s="8" t="n">
        <v>0.002</v>
      </c>
      <c r="F14" s="8" t="n">
        <v>0.002</v>
      </c>
      <c r="G14" s="9" t="n">
        <f aca="false">B14*E14</f>
        <v>0.002</v>
      </c>
      <c r="H14" s="9" t="n">
        <f aca="false">B14*F14</f>
        <v>0.002</v>
      </c>
      <c r="I14" s="5" t="s">
        <v>147</v>
      </c>
    </row>
    <row r="15" customFormat="false" ht="15" hidden="false" customHeight="false" outlineLevel="0" collapsed="false">
      <c r="A15" s="5" t="s">
        <v>81</v>
      </c>
      <c r="B15" s="5" t="n">
        <v>1</v>
      </c>
      <c r="C15" s="5" t="s">
        <v>71</v>
      </c>
      <c r="D15" s="5" t="s">
        <v>72</v>
      </c>
      <c r="E15" s="8" t="n">
        <v>0.002</v>
      </c>
      <c r="F15" s="8" t="n">
        <v>0.002</v>
      </c>
      <c r="G15" s="9" t="n">
        <f aca="false">B15*E15</f>
        <v>0.002</v>
      </c>
      <c r="H15" s="9" t="n">
        <f aca="false">B15*F15</f>
        <v>0.002</v>
      </c>
      <c r="I15" s="5" t="s">
        <v>147</v>
      </c>
    </row>
    <row r="16" customFormat="false" ht="15" hidden="false" customHeight="false" outlineLevel="0" collapsed="false">
      <c r="A16" s="5" t="s">
        <v>84</v>
      </c>
      <c r="B16" s="5" t="n">
        <v>1</v>
      </c>
      <c r="C16" s="5" t="s">
        <v>86</v>
      </c>
      <c r="D16" s="5" t="s">
        <v>87</v>
      </c>
      <c r="E16" s="8" t="n">
        <v>0.002</v>
      </c>
      <c r="F16" s="8" t="n">
        <v>0.002</v>
      </c>
      <c r="G16" s="9" t="n">
        <f aca="false">B16*E16</f>
        <v>0.002</v>
      </c>
      <c r="H16" s="9" t="n">
        <f aca="false">B16*F16</f>
        <v>0.002</v>
      </c>
      <c r="I16" s="5" t="s">
        <v>147</v>
      </c>
    </row>
    <row r="17" customFormat="false" ht="15" hidden="false" customHeight="false" outlineLevel="0" collapsed="false">
      <c r="A17" s="5" t="s">
        <v>90</v>
      </c>
      <c r="B17" s="5" t="n">
        <v>1</v>
      </c>
      <c r="C17" s="5" t="s">
        <v>91</v>
      </c>
      <c r="D17" s="5" t="s">
        <v>93</v>
      </c>
      <c r="E17" s="8" t="n">
        <v>5.2</v>
      </c>
      <c r="F17" s="8" t="n">
        <v>4.6</v>
      </c>
      <c r="G17" s="9" t="n">
        <f aca="false">B17*E17</f>
        <v>5.2</v>
      </c>
      <c r="H17" s="9" t="n">
        <f aca="false">B17*F17</f>
        <v>4.6</v>
      </c>
      <c r="I17" s="5" t="s">
        <v>147</v>
      </c>
    </row>
    <row r="18" customFormat="false" ht="15" hidden="false" customHeight="false" outlineLevel="0" collapsed="false">
      <c r="A18" s="5" t="s">
        <v>97</v>
      </c>
      <c r="B18" s="5" t="n">
        <v>1</v>
      </c>
      <c r="C18" s="5" t="s">
        <v>98</v>
      </c>
      <c r="D18" s="5" t="s">
        <v>100</v>
      </c>
      <c r="E18" s="8" t="n">
        <v>0.4186</v>
      </c>
      <c r="F18" s="8" t="n">
        <v>0.3181</v>
      </c>
      <c r="G18" s="9" t="n">
        <f aca="false">B18*E18</f>
        <v>0.4186</v>
      </c>
      <c r="H18" s="9" t="n">
        <f aca="false">B18*F18</f>
        <v>0.3181</v>
      </c>
      <c r="I18" s="5" t="s">
        <v>148</v>
      </c>
    </row>
    <row r="19" customFormat="false" ht="15" hidden="false" customHeight="false" outlineLevel="0" collapsed="false">
      <c r="A19" s="5" t="s">
        <v>104</v>
      </c>
      <c r="B19" s="5" t="n">
        <v>1</v>
      </c>
      <c r="C19" s="5" t="s">
        <v>105</v>
      </c>
      <c r="D19" s="5" t="s">
        <v>106</v>
      </c>
      <c r="E19" s="8" t="n">
        <v>3.2</v>
      </c>
      <c r="F19" s="8" t="n">
        <v>2.7</v>
      </c>
      <c r="G19" s="9" t="n">
        <f aca="false">B19*E19</f>
        <v>3.2</v>
      </c>
      <c r="H19" s="9" t="n">
        <f aca="false">B19*F19</f>
        <v>2.7</v>
      </c>
      <c r="I19" s="5" t="s">
        <v>147</v>
      </c>
    </row>
    <row r="20" customFormat="false" ht="15" hidden="false" customHeight="false" outlineLevel="0" collapsed="false">
      <c r="A20" s="5" t="s">
        <v>110</v>
      </c>
      <c r="B20" s="5" t="n">
        <v>1</v>
      </c>
      <c r="C20" s="5" t="s">
        <v>112</v>
      </c>
      <c r="D20" s="5" t="s">
        <v>113</v>
      </c>
      <c r="E20" s="8" t="n">
        <v>1.6331</v>
      </c>
      <c r="F20" s="8" t="n">
        <v>1.2305</v>
      </c>
      <c r="G20" s="9" t="n">
        <f aca="false">B20*E20</f>
        <v>1.6331</v>
      </c>
      <c r="H20" s="9" t="n">
        <f aca="false">B20*F20</f>
        <v>1.2305</v>
      </c>
      <c r="I20" s="5" t="s">
        <v>148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6" t="s">
        <v>149</v>
      </c>
      <c r="B22" s="6" t="n">
        <f aca="false">SUM(B5:B20)</f>
        <v>30</v>
      </c>
      <c r="C22" s="6"/>
      <c r="D22" s="6"/>
      <c r="E22" s="6"/>
      <c r="F22" s="6"/>
      <c r="G22" s="10" t="n">
        <f aca="false">SUM(G5:G20)</f>
        <v>11.1389</v>
      </c>
      <c r="H22" s="10" t="n">
        <f aca="false">SUM(H5:H20)</f>
        <v>9.374</v>
      </c>
      <c r="I22" s="6"/>
    </row>
    <row r="23" customFormat="false" ht="35.05" hidden="false" customHeight="false" outlineLevel="0" collapsed="false">
      <c r="A23" s="2" t="s">
        <v>150</v>
      </c>
      <c r="B23" s="2"/>
      <c r="C23" s="2"/>
      <c r="D23" s="2"/>
      <c r="E23" s="2"/>
      <c r="F23" s="2"/>
      <c r="G23" s="11" t="n">
        <f aca="false">G17/G22</f>
        <v>0.466832452037454</v>
      </c>
      <c r="H23" s="11" t="n">
        <f aca="false">H17/H22</f>
        <v>0.490719010027736</v>
      </c>
      <c r="I23" s="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2026-10-17T21:55:05Z</dcterms:created>
  <dc:creator>openpyxl</dc:creator>
  <dc:description/>
  <dc:language>en-US</dc:language>
  <cp:lastModifiedBy/>
  <dcterms:modified xsi:type="dcterms:W3CDTF">2026-10-17T21:55:05Z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