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Costing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0"/>
    <numFmt numFmtId="165" formatCode="\$#,##0.0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305496"/>
        <bgColor rgb="FF59595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164" fontId="10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165" fontId="8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4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1" min="1" max="1"/>
    <col width="9" customWidth="1" style="11" min="2" max="2"/>
    <col width="22" customWidth="1" style="11" min="3" max="3"/>
    <col width="14" customWidth="1" style="11" min="4" max="4"/>
    <col width="24" customWidth="1" style="11" min="5" max="5"/>
    <col width="22" customWidth="1" style="11" min="6" max="6"/>
    <col width="20" customWidth="1" style="11" min="7" max="7"/>
    <col width="24" customWidth="1" style="11" min="8" max="8"/>
    <col width="40" customWidth="1" style="11" min="9" max="9"/>
    <col width="9" customWidth="1" style="11" min="10" max="10"/>
    <col width="60" customWidth="1" style="11" min="11" max="11"/>
  </cols>
  <sheetData>
    <row r="1" ht="171.6" customHeight="1" s="12">
      <c r="A1" s="13" t="inlineStr">
        <is>
          <t>ACwing ESC 1S rev A - assembly BoM (1 board)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</row>
    <row r="2" ht="564.9" customHeight="1" s="12">
      <c r="A2" s="15" t="inlineStr">
        <is>
          <t>Source: ACwing_ESC1S_A.kicad_sch / ACwing_ESC1S_A.kicad_pcb. LCSC part numbers from the draft E FC BoM (2026-10-15/17); J1 C160407, rev B parts (Q5 AON7423 C99711, U2 STC4054GR C262930, J4 TYPE-C-31-M-12 C165948) checked 2026-10-18. D1-D4: SS34F fitted in place of STPS3L45AF (same outline).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4" t="n"/>
    </row>
    <row r="3" ht="15" customHeight="1" s="12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</row>
    <row r="4" ht="15" customHeight="1" s="12">
      <c r="A4" s="16" t="inlineStr">
        <is>
          <t>Item</t>
        </is>
      </c>
      <c r="B4" s="16" t="inlineStr">
        <is>
          <t>Quantity</t>
        </is>
      </c>
      <c r="C4" s="16" t="inlineStr">
        <is>
          <t>Part Reference</t>
        </is>
      </c>
      <c r="D4" s="16" t="inlineStr">
        <is>
          <t>Value</t>
        </is>
      </c>
      <c r="E4" s="16" t="inlineStr">
        <is>
          <t>MPN</t>
        </is>
      </c>
      <c r="F4" s="16" t="inlineStr">
        <is>
          <t>Manufacturer</t>
        </is>
      </c>
      <c r="G4" s="16" t="inlineStr">
        <is>
          <t>LCSC / JLCPCB #</t>
        </is>
      </c>
      <c r="H4" s="16" t="inlineStr">
        <is>
          <t>Package</t>
        </is>
      </c>
      <c r="I4" s="16" t="inlineStr">
        <is>
          <t>Description</t>
        </is>
      </c>
      <c r="J4" s="16" t="inlineStr">
        <is>
          <t>Side</t>
        </is>
      </c>
      <c r="K4" s="16" t="inlineStr">
        <is>
          <t>Notes</t>
        </is>
      </c>
    </row>
    <row r="5" ht="23.85" customHeight="1" s="12">
      <c r="A5" s="17" t="n">
        <v>1</v>
      </c>
      <c r="B5" s="17" t="n">
        <v>1</v>
      </c>
      <c r="C5" s="17" t="inlineStr">
        <is>
          <t>C1</t>
        </is>
      </c>
      <c r="D5" s="17" t="inlineStr">
        <is>
          <t>470uF 6.3V polymer</t>
        </is>
      </c>
      <c r="E5" s="17" t="inlineStr">
        <is>
          <t>T520D477M006ATE015</t>
        </is>
      </c>
      <c r="F5" s="17" t="inlineStr">
        <is>
          <t>KEMET</t>
        </is>
      </c>
      <c r="G5" s="17" t="inlineStr">
        <is>
          <t>C696809</t>
        </is>
      </c>
      <c r="H5" s="17" t="inlineStr">
        <is>
          <t>7343-31 (EIA D), h 2.8 mm</t>
        </is>
      </c>
      <c r="I5" s="17" t="inlineStr">
        <is>
          <t>Capacitor, tantalum polymer, 470 uF, 6.3 V, 15 mOhm</t>
        </is>
      </c>
      <c r="J5" s="17" t="inlineStr">
        <is>
          <t>Top</t>
        </is>
      </c>
      <c r="K5" s="17" t="inlineStr">
        <is>
          <t>Bulk at the battery entry, + to VBAT. Low LCSC stock: any 470 uF 6.3 V 7343 polymer fits</t>
        </is>
      </c>
    </row>
    <row r="6" ht="23.85" customHeight="1" s="12">
      <c r="A6" s="17" t="n">
        <v>2</v>
      </c>
      <c r="B6" s="17" t="n">
        <v>4</v>
      </c>
      <c r="C6" s="17" t="inlineStr">
        <is>
          <t>C2, C3, C4, C5</t>
        </is>
      </c>
      <c r="D6" s="17" t="inlineStr">
        <is>
          <t>10uF 10V</t>
        </is>
      </c>
      <c r="E6" s="17" t="inlineStr">
        <is>
          <t>CL10A106KP8NNNC</t>
        </is>
      </c>
      <c r="F6" s="17" t="inlineStr">
        <is>
          <t>Samsung Electro-Mechanics</t>
        </is>
      </c>
      <c r="G6" s="17" t="inlineStr">
        <is>
          <t>C19702</t>
        </is>
      </c>
      <c r="H6" s="17" t="inlineStr">
        <is>
          <t>0603 (1608 metric)</t>
        </is>
      </c>
      <c r="I6" s="17" t="inlineStr">
        <is>
          <t>Capacitor, MLCC, 10 uF, 10 V, X5R</t>
        </is>
      </c>
      <c r="J6" s="17" t="inlineStr">
        <is>
          <t>Top</t>
        </is>
      </c>
      <c r="K6" s="17" t="inlineStr">
        <is>
          <t>Local decoupling next to each MOSFET (hot loop)</t>
        </is>
      </c>
    </row>
    <row r="7" ht="23.85" customHeight="1" s="12">
      <c r="A7" s="17" t="n">
        <v>3</v>
      </c>
      <c r="B7" s="17" t="n">
        <v>2</v>
      </c>
      <c r="C7" s="17" t="inlineStr">
        <is>
          <t>C6, C7</t>
        </is>
      </c>
      <c r="D7" s="17" t="inlineStr">
        <is>
          <t>100nF</t>
        </is>
      </c>
      <c r="E7" s="17" t="inlineStr">
        <is>
          <t>CL05B104KO5NNNC</t>
        </is>
      </c>
      <c r="F7" s="17" t="inlineStr">
        <is>
          <t>Samsung Electro-Mechanics</t>
        </is>
      </c>
      <c r="G7" s="17" t="inlineStr">
        <is>
          <t>C1525</t>
        </is>
      </c>
      <c r="H7" s="17" t="inlineStr">
        <is>
          <t>0402 (1005 metric)</t>
        </is>
      </c>
      <c r="I7" s="17" t="inlineStr">
        <is>
          <t>Capacitor, MLCC, 100 nF, 16 V, X7R</t>
        </is>
      </c>
      <c r="J7" s="17" t="inlineStr">
        <is>
          <t>Bottom</t>
        </is>
      </c>
      <c r="K7" s="17" t="inlineStr">
        <is>
          <t>U1 supply (C7) and CUR filter (C6)</t>
        </is>
      </c>
    </row>
    <row r="8" ht="23.85" customHeight="1" s="12">
      <c r="A8" s="17" t="n">
        <v>4</v>
      </c>
      <c r="B8" s="17" t="n">
        <v>1</v>
      </c>
      <c r="C8" s="17" t="inlineStr">
        <is>
          <t>C8</t>
        </is>
      </c>
      <c r="D8" s="17" t="inlineStr">
        <is>
          <t>1uF</t>
        </is>
      </c>
      <c r="E8" s="17" t="inlineStr">
        <is>
          <t>CL05A105KA5NQNC</t>
        </is>
      </c>
      <c r="F8" s="17" t="inlineStr">
        <is>
          <t>Samsung Electro-Mechanics</t>
        </is>
      </c>
      <c r="G8" s="17" t="inlineStr">
        <is>
          <t>C52923</t>
        </is>
      </c>
      <c r="H8" s="17" t="inlineStr">
        <is>
          <t>0402 (1005 metric)</t>
        </is>
      </c>
      <c r="I8" s="17" t="inlineStr">
        <is>
          <t>Capacitor, MLCC, 1 uF, 25 V, X5R</t>
        </is>
      </c>
      <c r="J8" s="17" t="inlineStr">
        <is>
          <t>Top</t>
        </is>
      </c>
      <c r="K8" s="17" t="inlineStr">
        <is>
          <t>Charger input (VBUS)</t>
        </is>
      </c>
    </row>
    <row r="9" ht="23.85" customHeight="1" s="12">
      <c r="A9" s="17" t="n">
        <v>5</v>
      </c>
      <c r="B9" s="17" t="n">
        <v>1</v>
      </c>
      <c r="C9" s="17" t="inlineStr">
        <is>
          <t>C9</t>
        </is>
      </c>
      <c r="D9" s="17" t="inlineStr">
        <is>
          <t>4.7uF 10V</t>
        </is>
      </c>
      <c r="E9" s="17" t="inlineStr">
        <is>
          <t>CL10A475KO8NNNC</t>
        </is>
      </c>
      <c r="F9" s="17" t="inlineStr">
        <is>
          <t>Samsung Electro-Mechanics</t>
        </is>
      </c>
      <c r="G9" s="17" t="inlineStr">
        <is>
          <t>C19666</t>
        </is>
      </c>
      <c r="H9" s="17" t="inlineStr">
        <is>
          <t>0603 (1608 metric)</t>
        </is>
      </c>
      <c r="I9" s="17" t="inlineStr">
        <is>
          <t>Capacitor, MLCC, 4.7 uF, 16 V, X5R</t>
        </is>
      </c>
      <c r="J9" s="17" t="inlineStr">
        <is>
          <t>Top</t>
        </is>
      </c>
      <c r="K9" s="17" t="inlineStr">
        <is>
          <t>Charger output RC (with R16)</t>
        </is>
      </c>
    </row>
    <row r="10" ht="23.85" customHeight="1" s="12">
      <c r="A10" s="17" t="n">
        <v>6</v>
      </c>
      <c r="B10" s="17" t="n">
        <v>4</v>
      </c>
      <c r="C10" s="17" t="inlineStr">
        <is>
          <t>D1, D2, D3, D4</t>
        </is>
      </c>
      <c r="D10" s="17" t="inlineStr">
        <is>
          <t>STPS3L45AF</t>
        </is>
      </c>
      <c r="E10" s="17" t="inlineStr">
        <is>
          <t>SS34F</t>
        </is>
      </c>
      <c r="F10" s="17" t="inlineStr">
        <is>
          <t>GOODWORK</t>
        </is>
      </c>
      <c r="G10" s="17" t="inlineStr">
        <is>
          <t>C908669</t>
        </is>
      </c>
      <c r="H10" s="17" t="inlineStr">
        <is>
          <t>SMAF (DO-221AC)</t>
        </is>
      </c>
      <c r="I10" s="17" t="inlineStr">
        <is>
          <t>Diode, Schottky, 40 V, 3 A, Vf 0.55 V @ 3 A</t>
        </is>
      </c>
      <c r="J10" s="17" t="inlineStr">
        <is>
          <t>Top</t>
        </is>
      </c>
      <c r="K10" s="17" t="inlineStr">
        <is>
          <t>Motor freewheel diode. Replaces STPS3L45AF (low LCSC stock), same DO-221AC outline. Cathode to VBAT</t>
        </is>
      </c>
    </row>
    <row r="11" ht="15" customHeight="1" s="12">
      <c r="A11" s="17" t="n">
        <v>7</v>
      </c>
      <c r="B11" s="17" t="n">
        <v>1</v>
      </c>
      <c r="C11" s="17" t="inlineStr">
        <is>
          <t>D5</t>
        </is>
      </c>
      <c r="D11" s="17" t="inlineStr">
        <is>
          <t>RB521S30</t>
        </is>
      </c>
      <c r="E11" s="17" t="inlineStr">
        <is>
          <t>RB521S30T1G</t>
        </is>
      </c>
      <c r="F11" s="17" t="inlineStr">
        <is>
          <t>onsemi</t>
        </is>
      </c>
      <c r="G11" s="17" t="inlineStr">
        <is>
          <t>C8523</t>
        </is>
      </c>
      <c r="H11" s="17" t="inlineStr">
        <is>
          <t>SOD-523</t>
        </is>
      </c>
      <c r="I11" s="17" t="inlineStr">
        <is>
          <t>Diode, Schottky, 30 V, 200 mA</t>
        </is>
      </c>
      <c r="J11" s="17" t="inlineStr">
        <is>
          <t>Top</t>
        </is>
      </c>
      <c r="K11" s="17" t="inlineStr">
        <is>
          <t>VBUS -&gt; Q5 gate (charge switch off while charging)</t>
        </is>
      </c>
    </row>
    <row r="12" ht="15" customHeight="1" s="12">
      <c r="A12" s="17" t="n">
        <v>8</v>
      </c>
      <c r="B12" s="17" t="n">
        <v>1</v>
      </c>
      <c r="C12" s="17" t="inlineStr">
        <is>
          <t>D6</t>
        </is>
      </c>
      <c r="D12" s="17" t="inlineStr">
        <is>
          <t>green</t>
        </is>
      </c>
      <c r="E12" s="17" t="inlineStr">
        <is>
          <t>XL-1005UGC</t>
        </is>
      </c>
      <c r="F12" s="17" t="inlineStr">
        <is>
          <t>XINGLIGHT</t>
        </is>
      </c>
      <c r="G12" s="17" t="inlineStr">
        <is>
          <t>C965793</t>
        </is>
      </c>
      <c r="H12" s="17" t="inlineStr">
        <is>
          <t>0402 (1005 metric)</t>
        </is>
      </c>
      <c r="I12" s="17" t="inlineStr">
        <is>
          <t>LED, green 525 nm, 0402</t>
        </is>
      </c>
      <c r="J12" s="17" t="inlineStr">
        <is>
          <t>Top</t>
        </is>
      </c>
      <c r="K12" s="17" t="inlineStr">
        <is>
          <t>Charge LED (on = charging), top side next to the charge port</t>
        </is>
      </c>
    </row>
    <row r="13" ht="23.85" customHeight="1" s="12">
      <c r="A13" s="17" t="n">
        <v>9</v>
      </c>
      <c r="B13" s="17" t="n">
        <v>1</v>
      </c>
      <c r="C13" s="17" t="inlineStr">
        <is>
          <t>J1</t>
        </is>
      </c>
      <c r="D13" s="17" t="inlineStr">
        <is>
          <t>ESC link</t>
        </is>
      </c>
      <c r="E13" s="17" t="inlineStr">
        <is>
          <t>SM08B-SRSS-TB(LF)(SN)</t>
        </is>
      </c>
      <c r="F13" s="17" t="inlineStr">
        <is>
          <t>JST</t>
        </is>
      </c>
      <c r="G13" s="17" t="inlineStr">
        <is>
          <t>C160407</t>
        </is>
      </c>
      <c r="H13" s="17" t="inlineStr">
        <is>
          <t>JST SH 8P side entry, h 2.9 mm</t>
        </is>
      </c>
      <c r="I13" s="17" t="inlineStr">
        <is>
          <t>Connector, JST SH, 8 positions, 1.0 mm pitch, side entry</t>
        </is>
      </c>
      <c r="J13" s="17" t="inlineStr">
        <is>
          <t>Top</t>
        </is>
      </c>
      <c r="K13" s="17" t="inlineStr">
        <is>
          <t>ESC link to the FC: 1 GND, 2 VBAT, 3 CUR, 4 TLM (n.c.), 5-8 M1-M4. Mouth at the rear edge</t>
        </is>
      </c>
    </row>
    <row r="14" ht="35.05" customHeight="1" s="12">
      <c r="A14" s="17" t="n">
        <v>10</v>
      </c>
      <c r="B14" s="17" t="n">
        <v>1</v>
      </c>
      <c r="C14" s="17" t="inlineStr">
        <is>
          <t>J4</t>
        </is>
      </c>
      <c r="D14" s="17" t="inlineStr">
        <is>
          <t>USB-C (HRO TYPE-C-31-M-12)</t>
        </is>
      </c>
      <c r="E14" s="17" t="inlineStr">
        <is>
          <t>TYPE-C-31-M-12</t>
        </is>
      </c>
      <c r="F14" s="17" t="inlineStr">
        <is>
          <t>HRO (Korea Hroparts)</t>
        </is>
      </c>
      <c r="G14" s="17" t="inlineStr">
        <is>
          <t>C165948</t>
        </is>
      </c>
      <c r="H14" s="17" t="inlineStr">
        <is>
          <t>USB-C receptacle, 16 pin, SMD + THT shell</t>
        </is>
      </c>
      <c r="I14" s="17" t="inlineStr">
        <is>
          <t>Connector, USB Type-C receptacle, top mount</t>
        </is>
      </c>
      <c r="J14" s="17" t="inlineStr">
        <is>
          <t>Top</t>
        </is>
      </c>
      <c r="K14" s="17" t="inlineStr">
        <is>
          <t>Charge port (power only), front-left chamfer</t>
        </is>
      </c>
    </row>
    <row r="15" ht="23.85" customHeight="1" s="12">
      <c r="A15" s="17" t="n">
        <v>11</v>
      </c>
      <c r="B15" s="17" t="n">
        <v>4</v>
      </c>
      <c r="C15" s="17" t="inlineStr">
        <is>
          <t>Q1, Q2, Q3, Q4</t>
        </is>
      </c>
      <c r="D15" s="17" t="inlineStr">
        <is>
          <t>AON7524</t>
        </is>
      </c>
      <c r="E15" s="17" t="inlineStr">
        <is>
          <t>AON7524</t>
        </is>
      </c>
      <c r="F15" s="17" t="inlineStr">
        <is>
          <t>Alpha &amp; Omega Semiconductor</t>
        </is>
      </c>
      <c r="G15" s="17" t="inlineStr">
        <is>
          <t>C431195</t>
        </is>
      </c>
      <c r="H15" s="17" t="inlineStr">
        <is>
          <t>DFN 3x3 EP (DFN3x3A_8L_EP1)</t>
        </is>
      </c>
      <c r="I15" s="17" t="inlineStr">
        <is>
          <t>MOSFET, N-channel, 30 V, 30 A, logic level</t>
        </is>
      </c>
      <c r="J15" s="17" t="inlineStr">
        <is>
          <t>Top</t>
        </is>
      </c>
      <c r="K15" s="17" t="inlineStr">
        <is>
          <t>Low-side motor switch, one per channel. Land pattern: Vishay PowerPAK 1212-8 (check against the AOS drawing)</t>
        </is>
      </c>
    </row>
    <row r="16" ht="23.85" customHeight="1" s="12">
      <c r="A16" s="17" t="n">
        <v>12</v>
      </c>
      <c r="B16" s="17" t="n">
        <v>1</v>
      </c>
      <c r="C16" s="17" t="inlineStr">
        <is>
          <t>Q5</t>
        </is>
      </c>
      <c r="D16" s="17" t="inlineStr">
        <is>
          <t>AON7423</t>
        </is>
      </c>
      <c r="E16" s="17" t="inlineStr">
        <is>
          <t>AON7423</t>
        </is>
      </c>
      <c r="F16" s="17" t="inlineStr">
        <is>
          <t>Alpha &amp; Omega Semiconductor</t>
        </is>
      </c>
      <c r="G16" s="17" t="inlineStr">
        <is>
          <t>C99711</t>
        </is>
      </c>
      <c r="H16" s="17" t="inlineStr">
        <is>
          <t>DFN 3x3 EP</t>
        </is>
      </c>
      <c r="I16" s="17" t="inlineStr">
        <is>
          <t>MOSFET, P-channel, 20 V, 50 A, 4.9 mOhm @ -2.5 V, Vgs +-8 V</t>
        </is>
      </c>
      <c r="J16" s="17" t="inlineStr">
        <is>
          <t>Top</t>
        </is>
      </c>
      <c r="K16" s="17" t="inlineStr">
        <is>
          <t>Charge switch Q5: board supply off while the charge port is plugged in</t>
        </is>
      </c>
    </row>
    <row r="17" ht="15" customHeight="1" s="12">
      <c r="A17" s="17" t="n">
        <v>13</v>
      </c>
      <c r="B17" s="17" t="n">
        <v>4</v>
      </c>
      <c r="C17" s="17" t="inlineStr">
        <is>
          <t>R1, R2, R3, R4</t>
        </is>
      </c>
      <c r="D17" s="17" t="inlineStr">
        <is>
          <t>22R</t>
        </is>
      </c>
      <c r="E17" s="17" t="inlineStr">
        <is>
          <t>0402WGF220JTCE</t>
        </is>
      </c>
      <c r="F17" s="17" t="inlineStr">
        <is>
          <t>UNI-ROYAL</t>
        </is>
      </c>
      <c r="G17" s="17" t="inlineStr">
        <is>
          <t>C25092</t>
        </is>
      </c>
      <c r="H17" s="17" t="inlineStr">
        <is>
          <t>0402 (1005 metric)</t>
        </is>
      </c>
      <c r="I17" s="17" t="inlineStr">
        <is>
          <t>Resistor, 22 Ohm, 5 %, 1/16 W</t>
        </is>
      </c>
      <c r="J17" s="17" t="inlineStr">
        <is>
          <t>Top</t>
        </is>
      </c>
      <c r="K17" s="17" t="inlineStr">
        <is>
          <t>MOSFET gate resistors</t>
        </is>
      </c>
    </row>
    <row r="18" ht="23.85" customHeight="1" s="12">
      <c r="A18" s="17" t="n">
        <v>14</v>
      </c>
      <c r="B18" s="17" t="n">
        <v>5</v>
      </c>
      <c r="C18" s="17" t="inlineStr">
        <is>
          <t>R5, R6, R7, R8, R11</t>
        </is>
      </c>
      <c r="D18" s="17" t="inlineStr">
        <is>
          <t>100k</t>
        </is>
      </c>
      <c r="E18" s="17" t="inlineStr">
        <is>
          <t>0402WGF1003TCE</t>
        </is>
      </c>
      <c r="F18" s="17" t="inlineStr">
        <is>
          <t>UNI-ROYAL</t>
        </is>
      </c>
      <c r="G18" s="17" t="inlineStr">
        <is>
          <t>C25741</t>
        </is>
      </c>
      <c r="H18" s="17" t="inlineStr">
        <is>
          <t>0402 (1005 metric)</t>
        </is>
      </c>
      <c r="I18" s="17" t="inlineStr">
        <is>
          <t>Resistor, 100 kOhm, 1 %, 1/16 W</t>
        </is>
      </c>
      <c r="J18" s="17" t="inlineStr">
        <is>
          <t>Top</t>
        </is>
      </c>
      <c r="K18" s="17" t="inlineStr">
        <is>
          <t>Gate pull-downs: MOSFETs off with the cable unplugged or the FC booting (R5-R8); Q5 gate pull-down (R11)</t>
        </is>
      </c>
    </row>
    <row r="19" ht="15" customHeight="1" s="12">
      <c r="A19" s="17" t="n">
        <v>15</v>
      </c>
      <c r="B19" s="17" t="n">
        <v>1</v>
      </c>
      <c r="C19" s="17" t="inlineStr">
        <is>
          <t>R9</t>
        </is>
      </c>
      <c r="D19" s="17" t="inlineStr">
        <is>
          <t>2m</t>
        </is>
      </c>
      <c r="E19" s="17" t="inlineStr">
        <is>
          <t>RLM12FTCMR002</t>
        </is>
      </c>
      <c r="F19" s="17" t="inlineStr">
        <is>
          <t>TA-I Tech</t>
        </is>
      </c>
      <c r="G19" s="17" t="inlineStr">
        <is>
          <t>C710257</t>
        </is>
      </c>
      <c r="H19" s="17" t="inlineStr">
        <is>
          <t>1206 (3216 metric)</t>
        </is>
      </c>
      <c r="I19" s="17" t="inlineStr">
        <is>
          <t>Resistor, current sense, 2 mOhm, 1 %, 1 W</t>
        </is>
      </c>
      <c r="J19" s="17" t="inlineStr">
        <is>
          <t>Bottom</t>
        </is>
      </c>
      <c r="K19" s="17" t="inlineStr">
        <is>
          <t>Battery shunt, bottom side, Kelvin-connected to U1</t>
        </is>
      </c>
    </row>
    <row r="20" ht="15" customHeight="1" s="12">
      <c r="A20" s="17" t="n">
        <v>16</v>
      </c>
      <c r="B20" s="17" t="n">
        <v>2</v>
      </c>
      <c r="C20" s="17" t="inlineStr">
        <is>
          <t>R10, R15</t>
        </is>
      </c>
      <c r="D20" s="17" t="inlineStr">
        <is>
          <t>1k</t>
        </is>
      </c>
      <c r="E20" s="17" t="inlineStr">
        <is>
          <t>0402WGF1001TCE</t>
        </is>
      </c>
      <c r="F20" s="17" t="inlineStr">
        <is>
          <t>UNI-ROYAL</t>
        </is>
      </c>
      <c r="G20" s="17" t="inlineStr">
        <is>
          <t>C11702</t>
        </is>
      </c>
      <c r="H20" s="17" t="inlineStr">
        <is>
          <t>0402 (1005 metric)</t>
        </is>
      </c>
      <c r="I20" s="17" t="inlineStr">
        <is>
          <t>Resistor, 1 kOhm, 1 %, 1/16 W</t>
        </is>
      </c>
      <c r="J20" s="17" t="inlineStr">
        <is>
          <t>Bottom</t>
        </is>
      </c>
      <c r="K20" s="17" t="inlineStr">
        <is>
          <t>CUR filter (1k / 100 nF, 1.6 kHz) (R10); charge LED (R15)</t>
        </is>
      </c>
    </row>
    <row r="21" ht="15" customHeight="1" s="12">
      <c r="A21" s="17" t="n">
        <v>17</v>
      </c>
      <c r="B21" s="17" t="n">
        <v>2</v>
      </c>
      <c r="C21" s="17" t="inlineStr">
        <is>
          <t>R12, R13</t>
        </is>
      </c>
      <c r="D21" s="17" t="inlineStr">
        <is>
          <t>5.1k</t>
        </is>
      </c>
      <c r="E21" s="17" t="inlineStr">
        <is>
          <t>0402WGF5101TCE</t>
        </is>
      </c>
      <c r="F21" s="17" t="inlineStr">
        <is>
          <t>UNI-ROYAL</t>
        </is>
      </c>
      <c r="G21" s="17" t="inlineStr">
        <is>
          <t>C25905</t>
        </is>
      </c>
      <c r="H21" s="17" t="inlineStr">
        <is>
          <t>0402 (1005 metric)</t>
        </is>
      </c>
      <c r="I21" s="17" t="inlineStr">
        <is>
          <t>Resistor, 5.1 kOhm, 1 %, 1/16 W</t>
        </is>
      </c>
      <c r="J21" s="17" t="inlineStr">
        <is>
          <t>Bottom</t>
        </is>
      </c>
      <c r="K21" s="17" t="inlineStr">
        <is>
          <t>USB-C CC pull-downs (sink)</t>
        </is>
      </c>
    </row>
    <row r="22" ht="15" customHeight="1" s="12">
      <c r="A22" s="17" t="n">
        <v>18</v>
      </c>
      <c r="B22" s="17" t="n">
        <v>1</v>
      </c>
      <c r="C22" s="17" t="inlineStr">
        <is>
          <t>R14</t>
        </is>
      </c>
      <c r="D22" s="17" t="inlineStr">
        <is>
          <t>2.2k 1%</t>
        </is>
      </c>
      <c r="E22" s="17" t="inlineStr">
        <is>
          <t>0402WGF2201TCE</t>
        </is>
      </c>
      <c r="F22" s="17" t="inlineStr">
        <is>
          <t>UNI-ROYAL</t>
        </is>
      </c>
      <c r="G22" s="17" t="inlineStr">
        <is>
          <t>C25879</t>
        </is>
      </c>
      <c r="H22" s="17" t="inlineStr">
        <is>
          <t>0402 (1005 metric)</t>
        </is>
      </c>
      <c r="I22" s="17" t="inlineStr">
        <is>
          <t>Resistor, 2.2 kOhm, 1 %, 1/16 W</t>
        </is>
      </c>
      <c r="J22" s="17" t="inlineStr">
        <is>
          <t>Bottom</t>
        </is>
      </c>
      <c r="K22" s="17" t="inlineStr">
        <is>
          <t>Charger R_PROG: 455 mA</t>
        </is>
      </c>
    </row>
    <row r="23" ht="15" customHeight="1" s="12">
      <c r="A23" s="17" t="n">
        <v>19</v>
      </c>
      <c r="B23" s="17" t="n">
        <v>1</v>
      </c>
      <c r="C23" s="17" t="inlineStr">
        <is>
          <t>R16</t>
        </is>
      </c>
      <c r="D23" s="17" t="inlineStr">
        <is>
          <t>1R</t>
        </is>
      </c>
      <c r="E23" s="17" t="inlineStr">
        <is>
          <t>FRC0402F1R00TS</t>
        </is>
      </c>
      <c r="F23" s="17" t="inlineStr">
        <is>
          <t>FOJAN</t>
        </is>
      </c>
      <c r="G23" s="17" t="inlineStr">
        <is>
          <t>C2909329</t>
        </is>
      </c>
      <c r="H23" s="17" t="inlineStr">
        <is>
          <t>0402 (1005 metric)</t>
        </is>
      </c>
      <c r="I23" s="17" t="inlineStr">
        <is>
          <t>Resistor, 1 Ohm, 1 %, 1/16 W</t>
        </is>
      </c>
      <c r="J23" s="17" t="inlineStr">
        <is>
          <t>Bottom</t>
        </is>
      </c>
      <c r="K23" s="17" t="inlineStr">
        <is>
          <t>Charger output RC (with C9)</t>
        </is>
      </c>
    </row>
    <row r="24" ht="15" customHeight="1" s="12">
      <c r="A24" s="17" t="n">
        <v>20</v>
      </c>
      <c r="B24" s="17" t="n">
        <v>1</v>
      </c>
      <c r="C24" s="17" t="inlineStr">
        <is>
          <t>U1</t>
        </is>
      </c>
      <c r="D24" s="17" t="inlineStr">
        <is>
          <t>TSC213</t>
        </is>
      </c>
      <c r="E24" s="17" t="inlineStr">
        <is>
          <t>TSC213ICT</t>
        </is>
      </c>
      <c r="F24" s="17" t="inlineStr">
        <is>
          <t>STMicroelectronics</t>
        </is>
      </c>
      <c r="G24" s="17" t="inlineStr">
        <is>
          <t>C1858319</t>
        </is>
      </c>
      <c r="H24" s="17" t="inlineStr">
        <is>
          <t>SC70-6 (SOT-363)</t>
        </is>
      </c>
      <c r="I24" s="17" t="inlineStr">
        <is>
          <t>Current-sense amplifier, gain 50 V/V, zero drift</t>
        </is>
      </c>
      <c r="J24" s="17" t="inlineStr">
        <is>
          <t>Bottom</t>
        </is>
      </c>
      <c r="K24" s="17" t="inlineStr">
        <is>
          <t>Battery current: CUR = 0.1 V/A on J1 pin 3</t>
        </is>
      </c>
    </row>
    <row r="25" ht="15" customHeight="1" s="12">
      <c r="A25" s="17" t="n">
        <v>21</v>
      </c>
      <c r="B25" s="17" t="n">
        <v>1</v>
      </c>
      <c r="C25" s="17" t="inlineStr">
        <is>
          <t>U2</t>
        </is>
      </c>
      <c r="D25" s="17" t="inlineStr">
        <is>
          <t>STC4054GR</t>
        </is>
      </c>
      <c r="E25" s="17" t="inlineStr">
        <is>
          <t>STC4054GR</t>
        </is>
      </c>
      <c r="F25" s="17" t="inlineStr">
        <is>
          <t>STMicroelectronics</t>
        </is>
      </c>
      <c r="G25" s="17" t="inlineStr">
        <is>
          <t>C262930</t>
        </is>
      </c>
      <c r="H25" s="17" t="inlineStr">
        <is>
          <t>TSOT-23-5</t>
        </is>
      </c>
      <c r="I25" s="17" t="inlineStr">
        <is>
          <t>Li-ion linear charger, 4.2 V, up to 800 mA</t>
        </is>
      </c>
      <c r="J25" s="17" t="inlineStr">
        <is>
          <t>Top</t>
        </is>
      </c>
      <c r="K25" s="17" t="inlineStr">
        <is>
          <t>1S charger, 455 mA (R14 2.2k)</t>
        </is>
      </c>
    </row>
    <row r="26" ht="15" customHeight="1" s="12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</row>
    <row r="27" ht="23.85" customHeight="1" s="12">
      <c r="A27" s="18" t="inlineStr">
        <is>
          <t>Total</t>
        </is>
      </c>
      <c r="B27" s="18">
        <f>SUM(B5:B25)</f>
        <v/>
      </c>
      <c r="C27" s="18" t="inlineStr">
        <is>
          <t>Total placements (assembled parts)</t>
        </is>
      </c>
      <c r="D27" s="18" t="inlineStr">
        <is>
          <t>-</t>
        </is>
      </c>
      <c r="E27" s="18">
        <f>COUNTA(E5:E25)</f>
        <v/>
      </c>
      <c r="F27" s="18" t="inlineStr">
        <is>
          <t>line items</t>
        </is>
      </c>
      <c r="G27" s="18" t="inlineStr">
        <is>
          <t>-</t>
        </is>
      </c>
      <c r="H27" s="18" t="inlineStr">
        <is>
          <t>-</t>
        </is>
      </c>
      <c r="I27" s="18" t="inlineStr">
        <is>
          <t>-</t>
        </is>
      </c>
      <c r="J27" s="18" t="inlineStr">
        <is>
          <t>-</t>
        </is>
      </c>
      <c r="K27" s="18" t="inlineStr">
        <is>
          <t>Not-assembled items listed below</t>
        </is>
      </c>
    </row>
    <row r="28" ht="15" customHeight="1" s="12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</row>
    <row r="29" ht="102.95" customHeight="1" s="12">
      <c r="A29" s="19" t="inlineStr">
        <is>
          <t>Not assembled (PCB features / DNP)</t>
        </is>
      </c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 ht="15" customHeight="1" s="12">
      <c r="A30" s="16" t="inlineStr">
        <is>
          <t>Item</t>
        </is>
      </c>
      <c r="B30" s="16" t="inlineStr">
        <is>
          <t>Quantity</t>
        </is>
      </c>
      <c r="C30" s="16" t="inlineStr">
        <is>
          <t>Part Reference</t>
        </is>
      </c>
      <c r="D30" s="16" t="inlineStr">
        <is>
          <t>Value</t>
        </is>
      </c>
      <c r="E30" s="16" t="inlineStr">
        <is>
          <t>MPN</t>
        </is>
      </c>
      <c r="F30" s="16" t="inlineStr">
        <is>
          <t>Manufacturer</t>
        </is>
      </c>
      <c r="G30" s="16" t="inlineStr">
        <is>
          <t>LCSC / JLCPCB #</t>
        </is>
      </c>
      <c r="H30" s="16" t="inlineStr">
        <is>
          <t>Package</t>
        </is>
      </c>
      <c r="I30" s="16" t="inlineStr">
        <is>
          <t>Description</t>
        </is>
      </c>
      <c r="J30" s="16" t="inlineStr">
        <is>
          <t>Side</t>
        </is>
      </c>
      <c r="K30" s="16" t="inlineStr">
        <is>
          <t>Notes</t>
        </is>
      </c>
    </row>
    <row r="31" ht="15" customHeight="1" s="12">
      <c r="A31" s="17" t="inlineStr">
        <is>
          <t>NA1</t>
        </is>
      </c>
      <c r="B31" s="17" t="n">
        <v>4</v>
      </c>
      <c r="C31" s="17" t="inlineStr">
        <is>
          <t>H1, H2, H3, H4</t>
        </is>
      </c>
      <c r="D31" s="17" t="inlineStr">
        <is>
          <t>M2</t>
        </is>
      </c>
      <c r="E31" s="17" t="inlineStr">
        <is>
          <t>N/A (PCB feature)</t>
        </is>
      </c>
      <c r="F31" s="17" t="inlineStr">
        <is>
          <t>N/A</t>
        </is>
      </c>
      <c r="G31" s="17" t="inlineStr">
        <is>
          <t>N/A</t>
        </is>
      </c>
      <c r="H31" s="17" t="inlineStr">
        <is>
          <t>NPTH 2.2 mm</t>
        </is>
      </c>
      <c r="I31" s="17" t="inlineStr">
        <is>
          <t>Mounting hole, M2, 20 x 20 pattern</t>
        </is>
      </c>
      <c r="J31" s="17" t="inlineStr">
        <is>
          <t>Top</t>
        </is>
      </c>
      <c r="K31" s="17" t="inlineStr">
        <is>
          <t>Hard mount to the frame bosses; keep-out r 2.6 mm on both sides</t>
        </is>
      </c>
    </row>
    <row r="32" ht="23.85" customHeight="1" s="12">
      <c r="A32" s="17" t="inlineStr">
        <is>
          <t>NA2</t>
        </is>
      </c>
      <c r="B32" s="17" t="n">
        <v>4</v>
      </c>
      <c r="C32" s="17" t="inlineStr">
        <is>
          <t>M1, M2, M3, M4</t>
        </is>
      </c>
      <c r="D32" s="17" t="inlineStr">
        <is>
          <t>coreless 8520</t>
        </is>
      </c>
      <c r="E32" s="17" t="inlineStr">
        <is>
          <t>N/A (PCB feature)</t>
        </is>
      </c>
      <c r="F32" s="17" t="inlineStr">
        <is>
          <t>N/A</t>
        </is>
      </c>
      <c r="G32" s="17" t="inlineStr">
        <is>
          <t>N/A</t>
        </is>
      </c>
      <c r="H32" s="17" t="inlineStr">
        <is>
          <t>MotorPads_1x02_SMD</t>
        </is>
      </c>
      <c r="I32" s="17" t="inlineStr">
        <is>
          <t>Motor lead solder pads (8.5 x 20 mm coreless brushed motors, 3.7 V)</t>
        </is>
      </c>
      <c r="J32" s="17" t="inlineStr">
        <is>
          <t>Top</t>
        </is>
      </c>
      <c r="K32" s="17" t="inlineStr">
        <is>
          <t>Soldered by hand; "+" pad (silk mark) to the red/blue lead. M1/M4 CW, M2/M3 CCW</t>
        </is>
      </c>
    </row>
    <row r="33" ht="15" customHeight="1" s="12">
      <c r="A33" s="17" t="inlineStr">
        <is>
          <t>NA3</t>
        </is>
      </c>
      <c r="B33" s="17" t="n">
        <v>1</v>
      </c>
      <c r="C33" s="17" t="inlineStr">
        <is>
          <t>J2</t>
        </is>
      </c>
      <c r="D33" s="17" t="inlineStr">
        <is>
          <t>BATT 1S</t>
        </is>
      </c>
      <c r="E33" s="17" t="inlineStr">
        <is>
          <t>N/A (PCB feature)</t>
        </is>
      </c>
      <c r="F33" s="17" t="inlineStr">
        <is>
          <t>N/A</t>
        </is>
      </c>
      <c r="G33" s="17" t="inlineStr">
        <is>
          <t>N/A</t>
        </is>
      </c>
      <c r="H33" s="17" t="inlineStr">
        <is>
          <t>BattPads_1x02_SMD</t>
        </is>
      </c>
      <c r="I33" s="17" t="inlineStr">
        <is>
          <t>Battery lead solder pads, 1S LiPo, AWG 22-24</t>
        </is>
      </c>
      <c r="J33" s="17" t="inlineStr">
        <is>
          <t>Top</t>
        </is>
      </c>
      <c r="K33" s="17" t="inlineStr">
        <is>
          <t>Rear corner; "+" silk mark on the VBAT pad</t>
        </is>
      </c>
    </row>
    <row r="34" ht="23.85" customHeight="1" s="12">
      <c r="A34" s="17" t="inlineStr">
        <is>
          <t>NA4</t>
        </is>
      </c>
      <c r="B34" s="17" t="n">
        <v>1</v>
      </c>
      <c r="C34" s="17" t="inlineStr">
        <is>
          <t>- (soldered to J2)</t>
        </is>
      </c>
      <c r="D34" s="17" t="inlineStr">
        <is>
          <t>JST PH 2.0 pigtail</t>
        </is>
      </c>
      <c r="E34" s="17" t="inlineStr">
        <is>
          <t>PH 2.0 male lead, 30-40 mm, 24 AWG (any brand)</t>
        </is>
      </c>
      <c r="F34" s="17" t="inlineStr">
        <is>
          <t>N/A</t>
        </is>
      </c>
      <c r="G34" s="17" t="inlineStr">
        <is>
          <t>N/A</t>
        </is>
      </c>
      <c r="H34" s="17" t="inlineStr">
        <is>
          <t>off-board</t>
        </is>
      </c>
      <c r="I34" s="17" t="inlineStr">
        <is>
          <t>Battery plug pigtail soldered to J2 (rated 2 A)</t>
        </is>
      </c>
      <c r="J34" s="17" t="inlineStr">
        <is>
          <t>Top</t>
        </is>
      </c>
      <c r="K34" s="17" t="inlineStr">
        <is>
          <t>Hand-soldered: red to +. Match the polarity of the battery plug (not standardised)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1" min="1" max="1"/>
    <col width="10" customWidth="1" style="11" min="2" max="2"/>
    <col width="24" customWidth="1" style="11" min="3" max="4"/>
    <col width="13" customWidth="1" style="11" min="5" max="6"/>
    <col width="14" customWidth="1" style="11" min="7" max="8"/>
    <col width="16" customWidth="1" style="11" min="9" max="9"/>
  </cols>
  <sheetData>
    <row r="1" ht="72.34999999999999" customHeight="1" s="12">
      <c r="A1" s="13" t="inlineStr">
        <is>
          <t>ACwing ESC 1S rev A - component costing (assembled parts, USD)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 ht="74.59999999999999" customHeight="1" s="12">
      <c r="A2" s="15" t="inlineStr">
        <is>
          <t>Blue = input prices; black = formulas. "Estimate" rows are typical distributor prices, not quotes. PCB (4 layers), assembly fees, motors and the 8-pin cable are not included.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15" customHeight="1" s="12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</row>
    <row r="4" ht="23.85" customHeight="1" s="12">
      <c r="A4" s="16" t="inlineStr">
        <is>
          <t>References</t>
        </is>
      </c>
      <c r="B4" s="16" t="inlineStr">
        <is>
          <t>Qty / board</t>
        </is>
      </c>
      <c r="C4" s="16" t="inlineStr">
        <is>
          <t>MPN</t>
        </is>
      </c>
      <c r="D4" s="16" t="inlineStr">
        <is>
          <t>Source</t>
        </is>
      </c>
      <c r="E4" s="16" t="inlineStr">
        <is>
          <t>Unit price @10 boards</t>
        </is>
      </c>
      <c r="F4" s="16" t="inlineStr">
        <is>
          <t>Unit price @100 boards</t>
        </is>
      </c>
      <c r="G4" s="16" t="inlineStr">
        <is>
          <t>Cost / board @10</t>
        </is>
      </c>
      <c r="H4" s="16" t="inlineStr">
        <is>
          <t>Cost / board @100</t>
        </is>
      </c>
      <c r="I4" s="16" t="inlineStr">
        <is>
          <t>Price basis</t>
        </is>
      </c>
    </row>
    <row r="5" ht="15" customHeight="1" s="12">
      <c r="A5" s="17" t="inlineStr">
        <is>
          <t>C1</t>
        </is>
      </c>
      <c r="B5" s="17" t="n">
        <v>1</v>
      </c>
      <c r="C5" s="17" t="inlineStr">
        <is>
          <t>T520D477M006ATE015</t>
        </is>
      </c>
      <c r="D5" s="17" t="inlineStr">
        <is>
          <t>C696809</t>
        </is>
      </c>
      <c r="E5" s="20" t="n">
        <v>1.6307</v>
      </c>
      <c r="F5" s="20" t="n">
        <v>1.2652</v>
      </c>
      <c r="G5" s="21">
        <f>B5*E5</f>
        <v/>
      </c>
      <c r="H5" s="21">
        <f>B5*F5</f>
        <v/>
      </c>
      <c r="I5" s="17" t="inlineStr">
        <is>
          <t>LCSC quote</t>
        </is>
      </c>
    </row>
    <row r="6" ht="15" customHeight="1" s="12">
      <c r="A6" s="17" t="inlineStr">
        <is>
          <t>C2, C3, C4, C5</t>
        </is>
      </c>
      <c r="B6" s="17" t="n">
        <v>4</v>
      </c>
      <c r="C6" s="17" t="inlineStr">
        <is>
          <t>CL10A106KP8NNNC</t>
        </is>
      </c>
      <c r="D6" s="17" t="inlineStr">
        <is>
          <t>C19702</t>
        </is>
      </c>
      <c r="E6" s="20" t="n">
        <v>0.0287</v>
      </c>
      <c r="F6" s="20" t="n">
        <v>0.0287</v>
      </c>
      <c r="G6" s="21">
        <f>B6*E6</f>
        <v/>
      </c>
      <c r="H6" s="21">
        <f>B6*F6</f>
        <v/>
      </c>
      <c r="I6" s="17" t="inlineStr">
        <is>
          <t>LCSC quote</t>
        </is>
      </c>
    </row>
    <row r="7" ht="15" customHeight="1" s="12">
      <c r="A7" s="17" t="inlineStr">
        <is>
          <t>C6, C7</t>
        </is>
      </c>
      <c r="B7" s="17" t="n">
        <v>2</v>
      </c>
      <c r="C7" s="17" t="inlineStr">
        <is>
          <t>CL05B104KO5NNNC</t>
        </is>
      </c>
      <c r="D7" s="17" t="inlineStr">
        <is>
          <t>C1525</t>
        </is>
      </c>
      <c r="E7" s="20" t="n">
        <v>0.0049</v>
      </c>
      <c r="F7" s="20" t="n">
        <v>0.0049</v>
      </c>
      <c r="G7" s="21">
        <f>B7*E7</f>
        <v/>
      </c>
      <c r="H7" s="21">
        <f>B7*F7</f>
        <v/>
      </c>
      <c r="I7" s="17" t="inlineStr">
        <is>
          <t>LCSC quote</t>
        </is>
      </c>
    </row>
    <row r="8" ht="15" customHeight="1" s="12">
      <c r="A8" s="17" t="inlineStr">
        <is>
          <t>C8</t>
        </is>
      </c>
      <c r="B8" s="17" t="n">
        <v>1</v>
      </c>
      <c r="C8" s="17" t="inlineStr">
        <is>
          <t>CL05A105KA5NQNC</t>
        </is>
      </c>
      <c r="D8" s="17" t="inlineStr">
        <is>
          <t>C52923</t>
        </is>
      </c>
      <c r="E8" s="20" t="n">
        <v>0.0068</v>
      </c>
      <c r="F8" s="20" t="n">
        <v>0.0068</v>
      </c>
      <c r="G8" s="21">
        <f>B8*E8</f>
        <v/>
      </c>
      <c r="H8" s="21">
        <f>B8*F8</f>
        <v/>
      </c>
      <c r="I8" s="17" t="inlineStr">
        <is>
          <t>LCSC quote</t>
        </is>
      </c>
    </row>
    <row r="9" ht="15" customHeight="1" s="12">
      <c r="A9" s="17" t="inlineStr">
        <is>
          <t>C9</t>
        </is>
      </c>
      <c r="B9" s="17" t="n">
        <v>1</v>
      </c>
      <c r="C9" s="17" t="inlineStr">
        <is>
          <t>CL10A475KO8NNNC</t>
        </is>
      </c>
      <c r="D9" s="17" t="inlineStr">
        <is>
          <t>C19666</t>
        </is>
      </c>
      <c r="E9" s="20" t="n">
        <v>0.0205</v>
      </c>
      <c r="F9" s="20" t="n">
        <v>0.0159</v>
      </c>
      <c r="G9" s="21">
        <f>B9*E9</f>
        <v/>
      </c>
      <c r="H9" s="21">
        <f>B9*F9</f>
        <v/>
      </c>
      <c r="I9" s="17" t="inlineStr">
        <is>
          <t>LCSC quote</t>
        </is>
      </c>
    </row>
    <row r="10" ht="15" customHeight="1" s="12">
      <c r="A10" s="17" t="inlineStr">
        <is>
          <t>D1, D2, D3, D4</t>
        </is>
      </c>
      <c r="B10" s="17" t="n">
        <v>4</v>
      </c>
      <c r="C10" s="17" t="inlineStr">
        <is>
          <t>SS34F</t>
        </is>
      </c>
      <c r="D10" s="17" t="inlineStr">
        <is>
          <t>C908669</t>
        </is>
      </c>
      <c r="E10" s="20" t="n">
        <v>0.0326</v>
      </c>
      <c r="F10" s="20" t="n">
        <v>0.0326</v>
      </c>
      <c r="G10" s="21">
        <f>B10*E10</f>
        <v/>
      </c>
      <c r="H10" s="21">
        <f>B10*F10</f>
        <v/>
      </c>
      <c r="I10" s="17" t="inlineStr">
        <is>
          <t>LCSC quote</t>
        </is>
      </c>
    </row>
    <row r="11" ht="15" customHeight="1" s="12">
      <c r="A11" s="17" t="inlineStr">
        <is>
          <t>D5</t>
        </is>
      </c>
      <c r="B11" s="17" t="n">
        <v>1</v>
      </c>
      <c r="C11" s="17" t="inlineStr">
        <is>
          <t>RB521S30T1G</t>
        </is>
      </c>
      <c r="D11" s="17" t="inlineStr">
        <is>
          <t>C8523</t>
        </is>
      </c>
      <c r="E11" s="20" t="n">
        <v>0.03</v>
      </c>
      <c r="F11" s="20" t="n">
        <v>0.02</v>
      </c>
      <c r="G11" s="21">
        <f>B11*E11</f>
        <v/>
      </c>
      <c r="H11" s="21">
        <f>B11*F11</f>
        <v/>
      </c>
      <c r="I11" s="17" t="inlineStr">
        <is>
          <t>Estimate</t>
        </is>
      </c>
    </row>
    <row r="12" ht="15" customHeight="1" s="12">
      <c r="A12" s="17" t="inlineStr">
        <is>
          <t>D6</t>
        </is>
      </c>
      <c r="B12" s="17" t="n">
        <v>1</v>
      </c>
      <c r="C12" s="17" t="inlineStr">
        <is>
          <t>XL-1005UGC</t>
        </is>
      </c>
      <c r="D12" s="17" t="inlineStr">
        <is>
          <t>C965793</t>
        </is>
      </c>
      <c r="E12" s="20" t="n">
        <v>0.012</v>
      </c>
      <c r="F12" s="20" t="n">
        <v>0.008</v>
      </c>
      <c r="G12" s="21">
        <f>B12*E12</f>
        <v/>
      </c>
      <c r="H12" s="21">
        <f>B12*F12</f>
        <v/>
      </c>
      <c r="I12" s="17" t="inlineStr">
        <is>
          <t>Estimate</t>
        </is>
      </c>
    </row>
    <row r="13" ht="15" customHeight="1" s="12">
      <c r="A13" s="17" t="inlineStr">
        <is>
          <t>J1</t>
        </is>
      </c>
      <c r="B13" s="17" t="n">
        <v>1</v>
      </c>
      <c r="C13" s="17" t="inlineStr">
        <is>
          <t>SM08B-SRSS-TB(LF)(SN)</t>
        </is>
      </c>
      <c r="D13" s="17" t="inlineStr">
        <is>
          <t>C160407</t>
        </is>
      </c>
      <c r="E13" s="20" t="n">
        <v>0.35</v>
      </c>
      <c r="F13" s="20" t="n">
        <v>0.25</v>
      </c>
      <c r="G13" s="21">
        <f>B13*E13</f>
        <v/>
      </c>
      <c r="H13" s="21">
        <f>B13*F13</f>
        <v/>
      </c>
      <c r="I13" s="17" t="inlineStr">
        <is>
          <t>Estimate</t>
        </is>
      </c>
    </row>
    <row r="14" ht="15" customHeight="1" s="12">
      <c r="A14" s="17" t="inlineStr">
        <is>
          <t>J4</t>
        </is>
      </c>
      <c r="B14" s="17" t="n">
        <v>1</v>
      </c>
      <c r="C14" s="17" t="inlineStr">
        <is>
          <t>TYPE-C-31-M-12</t>
        </is>
      </c>
      <c r="D14" s="17" t="inlineStr">
        <is>
          <t>C165948</t>
        </is>
      </c>
      <c r="E14" s="20" t="n">
        <v>0.1729</v>
      </c>
      <c r="F14" s="20" t="n">
        <v>0.1365</v>
      </c>
      <c r="G14" s="21">
        <f>B14*E14</f>
        <v/>
      </c>
      <c r="H14" s="21">
        <f>B14*F14</f>
        <v/>
      </c>
      <c r="I14" s="17" t="inlineStr">
        <is>
          <t>LCSC quote</t>
        </is>
      </c>
    </row>
    <row r="15" ht="15" customHeight="1" s="12">
      <c r="A15" s="17" t="inlineStr">
        <is>
          <t>Q1, Q2, Q3, Q4</t>
        </is>
      </c>
      <c r="B15" s="17" t="n">
        <v>4</v>
      </c>
      <c r="C15" s="17" t="inlineStr">
        <is>
          <t>AON7524</t>
        </is>
      </c>
      <c r="D15" s="17" t="inlineStr">
        <is>
          <t>C431195</t>
        </is>
      </c>
      <c r="E15" s="20" t="n">
        <v>0.232</v>
      </c>
      <c r="F15" s="20" t="n">
        <v>0.178</v>
      </c>
      <c r="G15" s="21">
        <f>B15*E15</f>
        <v/>
      </c>
      <c r="H15" s="21">
        <f>B15*F15</f>
        <v/>
      </c>
      <c r="I15" s="17" t="inlineStr">
        <is>
          <t>LCSC quote</t>
        </is>
      </c>
    </row>
    <row r="16" ht="15" customHeight="1" s="12">
      <c r="A16" s="17" t="inlineStr">
        <is>
          <t>Q5</t>
        </is>
      </c>
      <c r="B16" s="17" t="n">
        <v>1</v>
      </c>
      <c r="C16" s="17" t="inlineStr">
        <is>
          <t>AON7423</t>
        </is>
      </c>
      <c r="D16" s="17" t="inlineStr">
        <is>
          <t>C99711</t>
        </is>
      </c>
      <c r="E16" s="20" t="n">
        <v>0.8993</v>
      </c>
      <c r="F16" s="20" t="n">
        <v>0.7663</v>
      </c>
      <c r="G16" s="21">
        <f>B16*E16</f>
        <v/>
      </c>
      <c r="H16" s="21">
        <f>B16*F16</f>
        <v/>
      </c>
      <c r="I16" s="17" t="inlineStr">
        <is>
          <t>LCSC quote</t>
        </is>
      </c>
    </row>
    <row r="17" ht="15" customHeight="1" s="12">
      <c r="A17" s="17" t="inlineStr">
        <is>
          <t>R1, R2, R3, R4</t>
        </is>
      </c>
      <c r="B17" s="17" t="n">
        <v>4</v>
      </c>
      <c r="C17" s="17" t="inlineStr">
        <is>
          <t>0402WGF220JTCE</t>
        </is>
      </c>
      <c r="D17" s="17" t="inlineStr">
        <is>
          <t>C25092</t>
        </is>
      </c>
      <c r="E17" s="20" t="n">
        <v>0.002</v>
      </c>
      <c r="F17" s="20" t="n">
        <v>0.002</v>
      </c>
      <c r="G17" s="21">
        <f>B17*E17</f>
        <v/>
      </c>
      <c r="H17" s="21">
        <f>B17*F17</f>
        <v/>
      </c>
      <c r="I17" s="17" t="inlineStr">
        <is>
          <t>Estimate</t>
        </is>
      </c>
    </row>
    <row r="18" ht="15" customHeight="1" s="12">
      <c r="A18" s="17" t="inlineStr">
        <is>
          <t>R5, R6, R7, R8, R11</t>
        </is>
      </c>
      <c r="B18" s="17" t="n">
        <v>5</v>
      </c>
      <c r="C18" s="17" t="inlineStr">
        <is>
          <t>0402WGF1003TCE</t>
        </is>
      </c>
      <c r="D18" s="17" t="inlineStr">
        <is>
          <t>C25741</t>
        </is>
      </c>
      <c r="E18" s="20" t="n">
        <v>0.002</v>
      </c>
      <c r="F18" s="20" t="n">
        <v>0.002</v>
      </c>
      <c r="G18" s="21">
        <f>B18*E18</f>
        <v/>
      </c>
      <c r="H18" s="21">
        <f>B18*F18</f>
        <v/>
      </c>
      <c r="I18" s="17" t="inlineStr">
        <is>
          <t>Estimate</t>
        </is>
      </c>
    </row>
    <row r="19" ht="15" customHeight="1" s="12">
      <c r="A19" s="17" t="inlineStr">
        <is>
          <t>R9</t>
        </is>
      </c>
      <c r="B19" s="17" t="n">
        <v>1</v>
      </c>
      <c r="C19" s="17" t="inlineStr">
        <is>
          <t>RLM12FTCMR002</t>
        </is>
      </c>
      <c r="D19" s="17" t="inlineStr">
        <is>
          <t>C710257</t>
        </is>
      </c>
      <c r="E19" s="20" t="n">
        <v>0.0476</v>
      </c>
      <c r="F19" s="20" t="n">
        <v>0.0389</v>
      </c>
      <c r="G19" s="21">
        <f>B19*E19</f>
        <v/>
      </c>
      <c r="H19" s="21">
        <f>B19*F19</f>
        <v/>
      </c>
      <c r="I19" s="17" t="inlineStr">
        <is>
          <t>LCSC quote</t>
        </is>
      </c>
    </row>
    <row r="20" ht="15" customHeight="1" s="12">
      <c r="A20" s="17" t="inlineStr">
        <is>
          <t>R10, R15</t>
        </is>
      </c>
      <c r="B20" s="17" t="n">
        <v>2</v>
      </c>
      <c r="C20" s="17" t="inlineStr">
        <is>
          <t>0402WGF1001TCE</t>
        </is>
      </c>
      <c r="D20" s="17" t="inlineStr">
        <is>
          <t>C11702</t>
        </is>
      </c>
      <c r="E20" s="20" t="n">
        <v>0.002</v>
      </c>
      <c r="F20" s="20" t="n">
        <v>0.002</v>
      </c>
      <c r="G20" s="21">
        <f>B20*E20</f>
        <v/>
      </c>
      <c r="H20" s="21">
        <f>B20*F20</f>
        <v/>
      </c>
      <c r="I20" s="17" t="inlineStr">
        <is>
          <t>Estimate</t>
        </is>
      </c>
    </row>
    <row r="21" ht="15" customHeight="1" s="12">
      <c r="A21" s="17" t="inlineStr">
        <is>
          <t>R12, R13</t>
        </is>
      </c>
      <c r="B21" s="17" t="n">
        <v>2</v>
      </c>
      <c r="C21" s="17" t="inlineStr">
        <is>
          <t>0402WGF5101TCE</t>
        </is>
      </c>
      <c r="D21" s="17" t="inlineStr">
        <is>
          <t>C25905</t>
        </is>
      </c>
      <c r="E21" s="20" t="n">
        <v>0.002</v>
      </c>
      <c r="F21" s="20" t="n">
        <v>0.002</v>
      </c>
      <c r="G21" s="21">
        <f>B21*E21</f>
        <v/>
      </c>
      <c r="H21" s="21">
        <f>B21*F21</f>
        <v/>
      </c>
      <c r="I21" s="17" t="inlineStr">
        <is>
          <t>Estimate</t>
        </is>
      </c>
    </row>
    <row r="22" ht="15" customHeight="1" s="12">
      <c r="A22" s="17" t="inlineStr">
        <is>
          <t>R14</t>
        </is>
      </c>
      <c r="B22" s="17" t="n">
        <v>1</v>
      </c>
      <c r="C22" s="17" t="inlineStr">
        <is>
          <t>0402WGF2201TCE</t>
        </is>
      </c>
      <c r="D22" s="17" t="inlineStr">
        <is>
          <t>C25879</t>
        </is>
      </c>
      <c r="E22" s="20" t="n">
        <v>0.002</v>
      </c>
      <c r="F22" s="20" t="n">
        <v>0.002</v>
      </c>
      <c r="G22" s="21">
        <f>B22*E22</f>
        <v/>
      </c>
      <c r="H22" s="21">
        <f>B22*F22</f>
        <v/>
      </c>
      <c r="I22" s="17" t="inlineStr">
        <is>
          <t>Estimate</t>
        </is>
      </c>
    </row>
    <row r="23" ht="15" customHeight="1" s="12">
      <c r="A23" s="17" t="inlineStr">
        <is>
          <t>R16</t>
        </is>
      </c>
      <c r="B23" s="17" t="n">
        <v>1</v>
      </c>
      <c r="C23" s="17" t="inlineStr">
        <is>
          <t>FRC0402F1R00TS</t>
        </is>
      </c>
      <c r="D23" s="17" t="inlineStr">
        <is>
          <t>C2909329</t>
        </is>
      </c>
      <c r="E23" s="20" t="n">
        <v>0.003</v>
      </c>
      <c r="F23" s="20" t="n">
        <v>0.002</v>
      </c>
      <c r="G23" s="21">
        <f>B23*E23</f>
        <v/>
      </c>
      <c r="H23" s="21">
        <f>B23*F23</f>
        <v/>
      </c>
      <c r="I23" s="17" t="inlineStr">
        <is>
          <t>Estimate</t>
        </is>
      </c>
    </row>
    <row r="24" ht="15" customHeight="1" s="12">
      <c r="A24" s="17" t="inlineStr">
        <is>
          <t>U1</t>
        </is>
      </c>
      <c r="B24" s="17" t="n">
        <v>1</v>
      </c>
      <c r="C24" s="17" t="inlineStr">
        <is>
          <t>TSC213ICT</t>
        </is>
      </c>
      <c r="D24" s="17" t="inlineStr">
        <is>
          <t>C1858319</t>
        </is>
      </c>
      <c r="E24" s="20" t="n">
        <v>0.6</v>
      </c>
      <c r="F24" s="20" t="n">
        <v>0.45</v>
      </c>
      <c r="G24" s="21">
        <f>B24*E24</f>
        <v/>
      </c>
      <c r="H24" s="21">
        <f>B24*F24</f>
        <v/>
      </c>
      <c r="I24" s="17" t="inlineStr">
        <is>
          <t>Estimate</t>
        </is>
      </c>
    </row>
    <row r="25" ht="15" customHeight="1" s="12">
      <c r="A25" s="17" t="inlineStr">
        <is>
          <t>U2</t>
        </is>
      </c>
      <c r="B25" s="17" t="n">
        <v>1</v>
      </c>
      <c r="C25" s="17" t="inlineStr">
        <is>
          <t>STC4054GR</t>
        </is>
      </c>
      <c r="D25" s="17" t="inlineStr">
        <is>
          <t>C262930</t>
        </is>
      </c>
      <c r="E25" s="20" t="n">
        <v>1.4469</v>
      </c>
      <c r="F25" s="20" t="n">
        <v>1.0963</v>
      </c>
      <c r="G25" s="21">
        <f>B25*E25</f>
        <v/>
      </c>
      <c r="H25" s="21">
        <f>B25*F25</f>
        <v/>
      </c>
      <c r="I25" s="17" t="inlineStr">
        <is>
          <t>LCSC quote</t>
        </is>
      </c>
    </row>
    <row r="26" ht="15" customHeight="1" s="12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</row>
    <row r="27" ht="15" customHeight="1" s="12">
      <c r="A27" s="18" t="inlineStr">
        <is>
          <t>Total per board</t>
        </is>
      </c>
      <c r="B27" s="18">
        <f>SUM(B5:B25)</f>
        <v/>
      </c>
      <c r="C27" s="18" t="n"/>
      <c r="D27" s="18" t="n"/>
      <c r="E27" s="18" t="n"/>
      <c r="F27" s="18" t="n"/>
      <c r="G27" s="22">
        <f>SUM(G5:G25)</f>
        <v/>
      </c>
      <c r="H27" s="22">
        <f>SUM(H5:H25)</f>
        <v/>
      </c>
      <c r="I27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2026-10-18T21:20:39Z</dcterms:created>
  <dcterms:modified xmlns:dcterms="http://purl.org/dc/terms/" xmlns:xsi="http://www.w3.org/2001/XMLSchema-instance" xsi:type="dcterms:W3CDTF">2026-10-19T15:04:06Z</dcterms:modified>
  <cp:revision>0</cp:revision>
</cp:coreProperties>
</file>