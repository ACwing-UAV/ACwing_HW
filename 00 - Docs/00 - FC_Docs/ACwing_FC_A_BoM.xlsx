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definedNames>
    <definedName function="false" hidden="true" localSheetId="0" name="_xlnm._FilterDatabase" vbProcedure="false">BoM!$A$4:$K$59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<sst xmlns="http://schemas.openxmlformats.org/spreadsheetml/2006/main" count="833" uniqueCount="471">
  <si>
    <t xml:space="preserve">ACwing FC rev A - assembly BoM (1 board)</t>
  </si>
  <si>
    <t xml:space="preserve">Source: ACwing_FC_A.kicad_sch / ACwing_FC_A.kicad_pcb. MPNs = parts as assembled by JLCPCB (LCSC part numbers checked on 2026-10-16/18); equivalents are noted where they replace the originally specified part.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</si>
  <si>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</si>
  <si>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</si>
  <si>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</si>
  <si>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</si>
  <si>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</si>
  <si>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</si>
  <si>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</si>
  <si>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</si>
  <si>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</si>
  <si>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</si>
  <si>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</si>
  <si>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AE1</t>
  </si>
  <si>
    <t xml:space="preserve">2450AT18A0100001E</t>
  </si>
  <si>
    <t xml:space="preserve">Johanson Technology</t>
  </si>
  <si>
    <t xml:space="preserve">C17430588</t>
  </si>
  <si>
    <t xml:space="preserve">1206 (3.2 x 1.6 x 1.3 mm)</t>
  </si>
  <si>
    <t xml:space="preserve">Chip antenna, 2.4 GHz, 0.5 dBi, 50 Ohm</t>
  </si>
  <si>
    <t xml:space="preserve">Top</t>
  </si>
  <si>
    <t xml:space="preserve">Johanson global P/N of the legacy 2450AT18A100E (same part). Left board edge, in the copper keep-out; R34 = 0R, C36 not fitted</t>
  </si>
  <si>
    <t xml:space="preserve">C1, C12, C14, C15, C16, C17, C19, C21, C23, C24, C25, C26, C28, C39, C40, C41, C42, C45, C50</t>
  </si>
  <si>
    <t xml:space="preserve">100nF</t>
  </si>
  <si>
    <t xml:space="preserve">CL05B104KO5NNNC</t>
  </si>
  <si>
    <t xml:space="preserve">Samsung Electro-Mechanics</t>
  </si>
  <si>
    <t xml:space="preserve">C1525</t>
  </si>
  <si>
    <t xml:space="preserve">0402 (1005 metric)</t>
  </si>
  <si>
    <t xml:space="preserve">Capacitor, MLCC, 100 nF, 16 V, X7R, 10%</t>
  </si>
  <si>
    <t xml:space="preserve">Bottom</t>
  </si>
  <si>
    <t xml:space="preserve">Decoupling (MCU, sensors, NRST). JLC Basic part (replaces Murata GRM155R71C104KA88D)</t>
  </si>
  <si>
    <t xml:space="preserve">C2, C47</t>
  </si>
  <si>
    <t xml:space="preserve">4.7uF 50V</t>
  </si>
  <si>
    <t xml:space="preserve">1206B475K500NT</t>
  </si>
  <si>
    <t xml:space="preserve">FH (Guangdong Fenghua)</t>
  </si>
  <si>
    <t xml:space="preserve">C29823</t>
  </si>
  <si>
    <t xml:space="preserve">1206 (3216 metric), h 1.6 mm</t>
  </si>
  <si>
    <t xml:space="preserve">Capacitor, MLCC, 4.7 uF, 50 V, X7R, 10%</t>
  </si>
  <si>
    <t xml:space="preserve">VBAT (up to 6S): buck input (C47), ESC link A (C2). JLC Basic part</t>
  </si>
  <si>
    <t xml:space="preserve">C6</t>
  </si>
  <si>
    <t xml:space="preserve">100uF 6.3V</t>
  </si>
  <si>
    <t xml:space="preserve">CL31A107MQHNNNE</t>
  </si>
  <si>
    <t xml:space="preserve">C15008</t>
  </si>
  <si>
    <t xml:space="preserve">Capacitor, MLCC, 100 uF, 6.3 V, X5R, 20%</t>
  </si>
  <si>
    <t xml:space="preserve">Buck output (VREG). Replaces Murata GRM31CR60J107ME39L</t>
  </si>
  <si>
    <t xml:space="preserve">C7</t>
  </si>
  <si>
    <t xml:space="preserve">4.7uF</t>
  </si>
  <si>
    <t xml:space="preserve">CL10A475KO8NNNC</t>
  </si>
  <si>
    <t xml:space="preserve">C19666</t>
  </si>
  <si>
    <t xml:space="preserve">0603 (1608 metric), h 0.8 mm</t>
  </si>
  <si>
    <t xml:space="preserve">Capacitor, MLCC, 4.7 uF, 16 V, X5R, 10%</t>
  </si>
  <si>
    <t xml:space="preserve">VSYS (C7) and MCU VDD bulk (C9). JLC Basic part, 16 V rating (replaces Murata GRM188R61A475KE15D)</t>
  </si>
  <si>
    <t xml:space="preserve">C8</t>
  </si>
  <si>
    <t xml:space="preserve">1uF</t>
  </si>
  <si>
    <t xml:space="preserve">CL05A105KA5NQNC</t>
  </si>
  <si>
    <t xml:space="preserve">C52923</t>
  </si>
  <si>
    <t xml:space="preserve">Capacitor, MLCC, 1 uF, 25 V, X5R, 10%</t>
  </si>
  <si>
    <t xml:space="preserve">LDO output (C8), VDDA (C22). JLC Basic part (replaces Murata GRM155R61A105KE15D)</t>
  </si>
  <si>
    <t xml:space="preserve">C9</t>
  </si>
  <si>
    <t xml:space="preserve">C18</t>
  </si>
  <si>
    <t xml:space="preserve">220nF</t>
  </si>
  <si>
    <t xml:space="preserve">CL05B224KO5NNNC</t>
  </si>
  <si>
    <t xml:space="preserve">C16772</t>
  </si>
  <si>
    <t xml:space="preserve">Capacitor, MLCC, 220 nF, 16 V, X7R, 10%</t>
  </si>
  <si>
    <t xml:space="preserve">IIS2MDC C1 (ESR &lt; 200 mOhm). Replaces Murata GRM155R71C224KA12D</t>
  </si>
  <si>
    <t xml:space="preserve">C20</t>
  </si>
  <si>
    <t xml:space="preserve">10uF 6.3V</t>
  </si>
  <si>
    <t xml:space="preserve">CL10A106KP8NNNC</t>
  </si>
  <si>
    <t xml:space="preserve">C19702</t>
  </si>
  <si>
    <t xml:space="preserve">Capacitor, MLCC, 10 uF, 10 V, X5R, 10%</t>
  </si>
  <si>
    <t xml:space="preserve">VDD bulk, bottom side. JLC Basic part, 10 V rating (replaces Murata GRM188R60J106ME47D)</t>
  </si>
  <si>
    <t xml:space="preserve">C22, C43</t>
  </si>
  <si>
    <t xml:space="preserve">C27</t>
  </si>
  <si>
    <t xml:space="preserve">100pF</t>
  </si>
  <si>
    <t xml:space="preserve">0402CG101J500NT</t>
  </si>
  <si>
    <t xml:space="preserve">C1546</t>
  </si>
  <si>
    <t xml:space="preserve">Capacitor, MLCC, 100 pF, 50 V, C0G, 5%</t>
  </si>
  <si>
    <t xml:space="preserve">VDDRF high-frequency decoupling. JLC Basic part (replaces Murata GRM1555C1H101JA01D)</t>
  </si>
  <si>
    <t xml:space="preserve">C29</t>
  </si>
  <si>
    <t xml:space="preserve">CL05A475MP5NRNC</t>
  </si>
  <si>
    <t xml:space="preserve">C23733</t>
  </si>
  <si>
    <t xml:space="preserve">Capacitor, MLCC, 4.7 uF, 10 V, X5R, 20%</t>
  </si>
  <si>
    <t xml:space="preserve">SMPS output (VFBSMPS). Replaces Murata GRM155R61A475MEAAD</t>
  </si>
  <si>
    <t xml:space="preserve">C44</t>
  </si>
  <si>
    <t xml:space="preserve">2.2uF</t>
  </si>
  <si>
    <t xml:space="preserve">CL05A225MQ5NSNC</t>
  </si>
  <si>
    <t xml:space="preserve">C12530</t>
  </si>
  <si>
    <t xml:space="preserve">Capacitor, MLCC, 2.2 uF, 6.3 V, X5R, 20%</t>
  </si>
  <si>
    <t xml:space="preserve">Expansion LDO output (VEXP). JLC Basic part</t>
  </si>
  <si>
    <t xml:space="preserve">C46</t>
  </si>
  <si>
    <t xml:space="preserve">22uF 25V</t>
  </si>
  <si>
    <t xml:space="preserve">CL21A226MAQNNNE</t>
  </si>
  <si>
    <t xml:space="preserve">C45783</t>
  </si>
  <si>
    <t xml:space="preserve">0805 (2012 metric), h 1.25 mm</t>
  </si>
  <si>
    <t xml:space="preserve">Capacitor, MLCC, 22 uF, 25 V, X5R, 20%</t>
  </si>
  <si>
    <t xml:space="preserve">Buck output (with C6). JLC Basic part</t>
  </si>
  <si>
    <t xml:space="preserve">C49</t>
  </si>
  <si>
    <t xml:space="preserve">10nF</t>
  </si>
  <si>
    <t xml:space="preserve">CL05B103KB5NNNC</t>
  </si>
  <si>
    <t xml:space="preserve">C15195</t>
  </si>
  <si>
    <t xml:space="preserve">Capacitor, MLCC, 10 nF, 50 V, X7R, 10%</t>
  </si>
  <si>
    <t xml:space="preserve">-. JLC Basic part</t>
  </si>
  <si>
    <t xml:space="preserve">D1, D2, D3, D4</t>
  </si>
  <si>
    <t xml:space="preserve">XL-2020RGBC-WS2812B</t>
  </si>
  <si>
    <t xml:space="preserve">XINGLIGHT</t>
  </si>
  <si>
    <t xml:space="preserve">C5349955</t>
  </si>
  <si>
    <t xml:space="preserve">2.0 x 2.0 x 0.65 mm, 4 pad (WS2812B-2020 footprint and pinout)</t>
  </si>
  <si>
    <t xml:space="preserve">LED, RGB addressable, integrated driver, 2.0 x 2.0 mm</t>
  </si>
  <si>
    <t xml:space="preserve">Status LEDs D1 rear, D2 left, D3 front, D4 right: one chain from PA7 (TIM17_CH1 + DMA); D3 / D4 supply pins face away from the magnetometer. VDD 3.5-5.5 V, supplied from VSYS; data through the U13 buffer (replaces WS2812B-2020, out of stock)</t>
  </si>
  <si>
    <t xml:space="preserve">D9</t>
  </si>
  <si>
    <t xml:space="preserve">PMEG2010AEH</t>
  </si>
  <si>
    <t xml:space="preserve">PMEG2010AEH,115</t>
  </si>
  <si>
    <t xml:space="preserve">Nexperia</t>
  </si>
  <si>
    <t xml:space="preserve">C110921</t>
  </si>
  <si>
    <t xml:space="preserve">SOD-123F</t>
  </si>
  <si>
    <t xml:space="preserve">Diode, Schottky, 20 V, 1 A, Vf ~0.35 V</t>
  </si>
  <si>
    <t xml:space="preserve">USB VBUS -&gt; VSYS</t>
  </si>
  <si>
    <t xml:space="preserve">J1</t>
  </si>
  <si>
    <t xml:space="preserve">USB-C (HRO TYPE-C-31-M-12)</t>
  </si>
  <si>
    <t xml:space="preserve">TYPE-C-31-M-12</t>
  </si>
  <si>
    <t xml:space="preserve">HRO (Korea Hroparts)</t>
  </si>
  <si>
    <t xml:space="preserve">C165948</t>
  </si>
  <si>
    <t xml:space="preserve">USB-C receptacle, 16 pin, SMD + THT shell</t>
  </si>
  <si>
    <t xml:space="preserve">Connector, USB Type-C receptacle, USB 2.0, top mount</t>
  </si>
  <si>
    <t xml:space="preserve">Mouth 0.35 mm past the right-corner chamfer</t>
  </si>
  <si>
    <t xml:space="preserve">J2</t>
  </si>
  <si>
    <t xml:space="preserve">ESC link</t>
  </si>
  <si>
    <t xml:space="preserve">SM08B-SRSS-TB(LF)(SN)</t>
  </si>
  <si>
    <t xml:space="preserve">JST</t>
  </si>
  <si>
    <t xml:space="preserve">C160407</t>
  </si>
  <si>
    <t xml:space="preserve">JST SH 8P side entry, h 2.9 mm</t>
  </si>
  <si>
    <t xml:space="preserve">Connector, JST SH, 8 positions, 1.0 mm pitch, side entry</t>
  </si>
  <si>
    <t xml:space="preserve">ESC links (top side): J2 ESC A rear edge (power, CUR, M1-M4); J6 ESC B front edge next to J5 (M5-M8)</t>
  </si>
  <si>
    <t xml:space="preserve">J3, J4</t>
  </si>
  <si>
    <t xml:space="preserve">Qwiic</t>
  </si>
  <si>
    <t xml:space="preserve">SM04B-SRSS-TB(LF)(SN)</t>
  </si>
  <si>
    <t xml:space="preserve">C160404</t>
  </si>
  <si>
    <t xml:space="preserve">JST SH 4P side entry, SMD, h 2.9 mm</t>
  </si>
  <si>
    <t xml:space="preserve">Connector, JST SH, 4 positions, 1.0 mm pitch, side entry, SMD</t>
  </si>
  <si>
    <t xml:space="preserve">Qwiic / STEMMA QT expansion port (GPS, flow): 1 GND, 2 3.3 V, 3 SDA, 4 SCL. Qwiic / STEMMA QT expansion port</t>
  </si>
  <si>
    <t xml:space="preserve">J5</t>
  </si>
  <si>
    <t xml:space="preserve">ELRS</t>
  </si>
  <si>
    <t xml:space="preserve">ELRS receiver port (CRSF, USART1): 1 GND, 2 VSYS, 3 RX, 4 TX. ELRS receiver port (CRSF)</t>
  </si>
  <si>
    <t xml:space="preserve">J6</t>
  </si>
  <si>
    <t xml:space="preserve">ESC link B</t>
  </si>
  <si>
    <t xml:space="preserve">ESC link B (M5-M8), top side, front edge next to the ELRS port J5, mouth toward the front</t>
  </si>
  <si>
    <t xml:space="preserve">L1</t>
  </si>
  <si>
    <t xml:space="preserve">2.2uH</t>
  </si>
  <si>
    <t xml:space="preserve">MPH201210S2R2MT</t>
  </si>
  <si>
    <t xml:space="preserve">Sunlord</t>
  </si>
  <si>
    <t xml:space="preserve">C55755</t>
  </si>
  <si>
    <t xml:space="preserve">0805 (2012 metric), h 1.0 mm</t>
  </si>
  <si>
    <t xml:space="preserve">Inductor, multilayer power, 2.2 uH, 20%, 420 mA, DCR 0.25 Ohm, 2.0 x 1.2 x 1.0 mm</t>
  </si>
  <si>
    <t xml:space="preserve">SMPS inductor for the 8 MHz SMPS clock (DS13252 table 6). SMPS inductor, 8 MHz SMPS clock; replaces Wurth 74479774222 (not at LCSC)</t>
  </si>
  <si>
    <t xml:space="preserve">L2</t>
  </si>
  <si>
    <t xml:space="preserve">10nH</t>
  </si>
  <si>
    <t xml:space="preserve">LQG15HS10NJ02D</t>
  </si>
  <si>
    <t xml:space="preserve">Murata</t>
  </si>
  <si>
    <t xml:space="preserve">C77103</t>
  </si>
  <si>
    <t xml:space="preserve">Inductor, multilayer, 10 nH, 5%, 500 mA</t>
  </si>
  <si>
    <t xml:space="preserve">SMPS output filter, AN5290. Replaces LQG15WZ10NJ02D (same value, LCSC stocked)</t>
  </si>
  <si>
    <t xml:space="preserve">L3</t>
  </si>
  <si>
    <t xml:space="preserve">22uH</t>
  </si>
  <si>
    <t xml:space="preserve">SWPA5040S220MT</t>
  </si>
  <si>
    <t xml:space="preserve">C68434</t>
  </si>
  <si>
    <t xml:space="preserve">SMD 5 x 5 x 4 mm, shielded</t>
  </si>
  <si>
    <t xml:space="preserve">Inductor, shielded power, 22 uH, 20%, Irated 1.5 A, Isat 1.9 A, DCR 168 mOhm, 5 x 5 x 4 mm</t>
  </si>
  <si>
    <t xml:space="preserve">Input buck inductor (top, left edge, ~41 mm from the magnetometer)</t>
  </si>
  <si>
    <t xml:space="preserve">Q5</t>
  </si>
  <si>
    <t xml:space="preserve">AO3401A</t>
  </si>
  <si>
    <t xml:space="preserve">Alpha &amp; Omega Semiconductor</t>
  </si>
  <si>
    <t xml:space="preserve">C15127</t>
  </si>
  <si>
    <t xml:space="preserve">SOT-23</t>
  </si>
  <si>
    <t xml:space="preserve">MOSFET, P-channel, 30 V, 4 A</t>
  </si>
  <si>
    <t xml:space="preserve">Battery/USB load sharing</t>
  </si>
  <si>
    <t xml:space="preserve">R2</t>
  </si>
  <si>
    <t xml:space="preserve">100k</t>
  </si>
  <si>
    <t xml:space="preserve">0402WGF1003TCE</t>
  </si>
  <si>
    <t xml:space="preserve">UNI-ROYAL</t>
  </si>
  <si>
    <t xml:space="preserve">C25741</t>
  </si>
  <si>
    <t xml:space="preserve">Resistor, 100 kOhm, 1%, 1/16 W</t>
  </si>
  <si>
    <t xml:space="preserve">Q5 gate pull-down (R2), VBUS sense divider (R10, R11). JLC Basic part</t>
  </si>
  <si>
    <t xml:space="preserve">R3</t>
  </si>
  <si>
    <t xml:space="preserve">287k 1%</t>
  </si>
  <si>
    <t xml:space="preserve">RC-02K2873FT</t>
  </si>
  <si>
    <t xml:space="preserve">C42921050</t>
  </si>
  <si>
    <t xml:space="preserve">Resistor, 287 kOhm, 1%, 1/16 W</t>
  </si>
  <si>
    <t xml:space="preserve">LDO feedback (VOUT = 3.10 V)</t>
  </si>
  <si>
    <t xml:space="preserve">R4</t>
  </si>
  <si>
    <t xml:space="preserve">100k 1%</t>
  </si>
  <si>
    <t xml:space="preserve">LDO feedback (R4), VBAT sense divider top (R8). JLC Basic part</t>
  </si>
  <si>
    <t xml:space="preserve">R8</t>
  </si>
  <si>
    <t xml:space="preserve">R9, R14, R37, R38</t>
  </si>
  <si>
    <t xml:space="preserve">10k</t>
  </si>
  <si>
    <t xml:space="preserve">0402WGF1002TCE</t>
  </si>
  <si>
    <t xml:space="preserve">C25744</t>
  </si>
  <si>
    <t xml:space="preserve">Resistor, 10 kOhm, 1%, 1/16 W</t>
  </si>
  <si>
    <t xml:space="preserve">BOOT0 pull-down (R14), FLASH_CS / IMU_CS pull-ups (R37, R38), VBAT sense divider bottom (R9). JLC Basic part</t>
  </si>
  <si>
    <t xml:space="preserve">R10, R11</t>
  </si>
  <si>
    <t xml:space="preserve">R12, R13</t>
  </si>
  <si>
    <t xml:space="preserve">5.1k</t>
  </si>
  <si>
    <t xml:space="preserve">0402WGF5101TCE</t>
  </si>
  <si>
    <t xml:space="preserve">C25905</t>
  </si>
  <si>
    <t xml:space="preserve">Resistor, 5.1 kOhm, 1%, 1/16 W</t>
  </si>
  <si>
    <t xml:space="preserve">USB-C CC pull-downs. JLC Basic part</t>
  </si>
  <si>
    <t xml:space="preserve">R15, R16</t>
  </si>
  <si>
    <t xml:space="preserve">2.2k</t>
  </si>
  <si>
    <t xml:space="preserve">0402WGF2201TCE</t>
  </si>
  <si>
    <t xml:space="preserve">C25879</t>
  </si>
  <si>
    <t xml:space="preserve">Resistor, 2.2 kOhm, 1%, 1/16 W</t>
  </si>
  <si>
    <t xml:space="preserve">I2C1 pull-ups. JLC Basic part</t>
  </si>
  <si>
    <t xml:space="preserve">R17, R18</t>
  </si>
  <si>
    <t xml:space="preserve">4.7k</t>
  </si>
  <si>
    <t xml:space="preserve">0402WGF4701TCE</t>
  </si>
  <si>
    <t xml:space="preserve">C25900</t>
  </si>
  <si>
    <t xml:space="preserve">Resistor, 4.7 kOhm, 1%, 1/16 W</t>
  </si>
  <si>
    <t xml:space="preserve">Sensor hub pull-ups. JLC Basic part</t>
  </si>
  <si>
    <t xml:space="preserve">R20, R21, R22, R23, R24, R25, R26, R27, R28</t>
  </si>
  <si>
    <t xml:space="preserve">100R</t>
  </si>
  <si>
    <t xml:space="preserve">0402WGF1000TCE</t>
  </si>
  <si>
    <t xml:space="preserve">C25076</t>
  </si>
  <si>
    <t xml:space="preserve">Resistor, 100 Ohm, 1%, 1/16 W</t>
  </si>
  <si>
    <t xml:space="preserve">ESC link series resistors (M1-M8, TLM). JLC Basic part</t>
  </si>
  <si>
    <t xml:space="preserve">R34</t>
  </si>
  <si>
    <t xml:space="preserve">0R</t>
  </si>
  <si>
    <t xml:space="preserve">0402WGF0000TCE</t>
  </si>
  <si>
    <t xml:space="preserve">C17168</t>
  </si>
  <si>
    <t xml:space="preserve">Resistor, 0 Ohm jumper, 1/16 W</t>
  </si>
  <si>
    <t xml:space="preserve">R34: antenna tuning, series position (replace with L/C after tuning). JLC Basic part</t>
  </si>
  <si>
    <t xml:space="preserve">R39</t>
  </si>
  <si>
    <t xml:space="preserve">33R</t>
  </si>
  <si>
    <t xml:space="preserve">0402WGF330JTCE</t>
  </si>
  <si>
    <t xml:space="preserve">C25105</t>
  </si>
  <si>
    <t xml:space="preserve">Resistor, 33 Ohm, 1%, 1/16 W</t>
  </si>
  <si>
    <t xml:space="preserve">RGB data line series resistor. JLC Basic part</t>
  </si>
  <si>
    <t xml:space="preserve">R40</t>
  </si>
  <si>
    <t xml:space="preserve">47k 1%</t>
  </si>
  <si>
    <t xml:space="preserve">0402WGF4702TCE</t>
  </si>
  <si>
    <t xml:space="preserve">C25792</t>
  </si>
  <si>
    <t xml:space="preserve">Resistor, 47 kOhm, 1%, 1/16 W</t>
  </si>
  <si>
    <t xml:space="preserve">VEXP divider, top. JLC Basic part</t>
  </si>
  <si>
    <t xml:space="preserve">R41</t>
  </si>
  <si>
    <t xml:space="preserve">15k 1%</t>
  </si>
  <si>
    <t xml:space="preserve">0402WGF1502TCE</t>
  </si>
  <si>
    <t xml:space="preserve">C25756</t>
  </si>
  <si>
    <t xml:space="preserve">Resistor, 15 kOhm, 1%, 1/16 W</t>
  </si>
  <si>
    <t xml:space="preserve">VEXP divider, bottom. JLC Basic part</t>
  </si>
  <si>
    <t xml:space="preserve">R42</t>
  </si>
  <si>
    <t xml:space="preserve">1k</t>
  </si>
  <si>
    <t xml:space="preserve">0402WGF1001TCE</t>
  </si>
  <si>
    <t xml:space="preserve">C11702</t>
  </si>
  <si>
    <t xml:space="preserve">Resistor, 1 kOhm, 1%, 1/16 W</t>
  </si>
  <si>
    <t xml:space="preserve">ADC RC on ESC_CUR (R42). JLC Basic part</t>
  </si>
  <si>
    <t xml:space="preserve">R47</t>
  </si>
  <si>
    <t xml:space="preserve">470k 1%</t>
  </si>
  <si>
    <t xml:space="preserve">0402WGF4703TCE</t>
  </si>
  <si>
    <t xml:space="preserve">C25790</t>
  </si>
  <si>
    <t xml:space="preserve">Resistor, 470 kOhm, 1%, 1/16 W</t>
  </si>
  <si>
    <t xml:space="preserve">VBAT sense divider. JLC Basic part</t>
  </si>
  <si>
    <t xml:space="preserve">R48</t>
  </si>
  <si>
    <t xml:space="preserve">200k 1%</t>
  </si>
  <si>
    <t xml:space="preserve">0402WGF2003TCE</t>
  </si>
  <si>
    <t xml:space="preserve">C25764</t>
  </si>
  <si>
    <t xml:space="preserve">Resistor, 200 kOhm, 1%, 1/16 W</t>
  </si>
  <si>
    <t xml:space="preserve">Buck feedback, bottom. JLC Basic part</t>
  </si>
  <si>
    <t xml:space="preserve">U1</t>
  </si>
  <si>
    <t xml:space="preserve">LSM6DSV16X</t>
  </si>
  <si>
    <t xml:space="preserve">LSM6DSV16XTR</t>
  </si>
  <si>
    <t xml:space="preserve">STMicroelectronics</t>
  </si>
  <si>
    <t xml:space="preserve">C5267406</t>
  </si>
  <si>
    <t xml:space="preserve">LGA-14, 2.5 x 3 x 0.83 mm</t>
  </si>
  <si>
    <t xml:space="preserve">IMU, 6-axis (accelerometer + gyroscope), I2C/I3C/SPI, sensor hub</t>
  </si>
  <si>
    <t xml:space="preserve">Top, just south of the centred MCU (0, -7.6), rotated 270 deg (remap the axes in firmware); SPI1, shared with the log flash</t>
  </si>
  <si>
    <t xml:space="preserve">U2</t>
  </si>
  <si>
    <t xml:space="preserve">STM32WB55CGU6</t>
  </si>
  <si>
    <t xml:space="preserve">C404023</t>
  </si>
  <si>
    <t xml:space="preserve">UFQFPN-48, 7 x 7 x 0.55 mm, EP 5.6 mm</t>
  </si>
  <si>
    <t xml:space="preserve">MCU, Cortex-M4 + M0+ radio core, BLE 5 / 802.15.4, 1 MB flash, 256 KB RAM, SMPS</t>
  </si>
  <si>
    <t xml:space="preserve">EP to GND through a 3x3 via array. Out of stock at LCSC/JLC (2026-10-27): consigned part (buy at Mouser/DigiKey/ST and ship to JLC) or JLC Global Sourcing</t>
  </si>
  <si>
    <t xml:space="preserve">U3</t>
  </si>
  <si>
    <t xml:space="preserve">IIS2MDC</t>
  </si>
  <si>
    <t xml:space="preserve">IIS2MDCTR</t>
  </si>
  <si>
    <t xml:space="preserve">C2655002</t>
  </si>
  <si>
    <t xml:space="preserve">LGA-12, 2 x 2 x 0.7 mm</t>
  </si>
  <si>
    <t xml:space="preserve">Magnetometer, 3-axis, +-50 gauss, 16 bit, I2C/SPI, industrial grade (LIS2MDL-compatible)</t>
  </si>
  <si>
    <t xml:space="preserve">Front corner; read through the LSM6DSV16X sensor hub, address 0x1E</t>
  </si>
  <si>
    <t xml:space="preserve">U4</t>
  </si>
  <si>
    <t xml:space="preserve">LPS22HH</t>
  </si>
  <si>
    <t xml:space="preserve">LPS22HHTR</t>
  </si>
  <si>
    <t xml:space="preserve">C2827824</t>
  </si>
  <si>
    <t xml:space="preserve">HLGA-10, 2 x 2 x 0.73 mm</t>
  </si>
  <si>
    <t xml:space="preserve">Pressure sensor (barometer), 260-1260 hPa, I2C/SPI, 24-bit</t>
  </si>
  <si>
    <t xml:space="preserve">Altitude hold; address 0x5D (WHO_AM_I 0xB3). Keep the vent hole clear. Replaces LPS22HBTR (out of stock): same HLGA-10 2 x 2 footprint and pinout; low LCSC stock on 2026-10-27, check before ordering</t>
  </si>
  <si>
    <t xml:space="preserve">U5</t>
  </si>
  <si>
    <t xml:space="preserve">LD39130SPUR</t>
  </si>
  <si>
    <t xml:space="preserve">C2798213</t>
  </si>
  <si>
    <t xml:space="preserve">DFN-6, 1.2 x 1.3 mm</t>
  </si>
  <si>
    <t xml:space="preserve">LDO regulator, adjustable, 300 mA, 1 uA quiescent</t>
  </si>
  <si>
    <t xml:space="preserve">Set to 3.10 V by R3/R4</t>
  </si>
  <si>
    <t xml:space="preserve">U7</t>
  </si>
  <si>
    <t xml:space="preserve">USBLC6-2SC6</t>
  </si>
  <si>
    <t xml:space="preserve">C7519</t>
  </si>
  <si>
    <t xml:space="preserve">SOT-23-6</t>
  </si>
  <si>
    <t xml:space="preserve">ESD protection, 2-line, low capacitance, for USB 2.0</t>
  </si>
  <si>
    <t xml:space="preserve">Next to the USB-C connector</t>
  </si>
  <si>
    <t xml:space="preserve">U8</t>
  </si>
  <si>
    <t xml:space="preserve">MLPF-WB55-01E3</t>
  </si>
  <si>
    <t xml:space="preserve">C2651048</t>
  </si>
  <si>
    <t xml:space="preserve">CSP-6 (bumps), 1.0 x 1.6 mm approx., pitch 0.5 mm</t>
  </si>
  <si>
    <t xml:space="preserve">2.4 GHz low-pass filter with integrated impedance matching for STM32WB55 RF1</t>
  </si>
  <si>
    <t xml:space="preserve">Between U2 RF1 and the antenna feed (AN5290 IPD BoM)</t>
  </si>
  <si>
    <t xml:space="preserve">U10</t>
  </si>
  <si>
    <t xml:space="preserve">W25Q128JV</t>
  </si>
  <si>
    <t xml:space="preserve">W25Q128JVPIQ</t>
  </si>
  <si>
    <t xml:space="preserve">Winbond</t>
  </si>
  <si>
    <t xml:space="preserve">C190862</t>
  </si>
  <si>
    <t xml:space="preserve">WSON-8, 6 x 5 x 0.75 mm</t>
  </si>
  <si>
    <t xml:space="preserve">NOR flash, 128 Mbit (16 MB), SPI/QSPI 133 MHz, WSON-8 6x5 mm</t>
  </si>
  <si>
    <t xml:space="preserve">Flight log (blackbox); SPI1, CS PE4; bottom side</t>
  </si>
  <si>
    <t xml:space="preserve">U11</t>
  </si>
  <si>
    <t xml:space="preserve">LDK130PU-R</t>
  </si>
  <si>
    <t xml:space="preserve">C157446</t>
  </si>
  <si>
    <t xml:space="preserve">LDO, adjustable 0.8-5.1 V, 300 mA, DFN-6 1.2 x 1.3 mm</t>
  </si>
  <si>
    <t xml:space="preserve">Expansion bus 3.3 V (VEXP), set to 3.31 V by R40/R41. Set to 3.31 V by R40/R41 (47k/15k)</t>
  </si>
  <si>
    <t xml:space="preserve">U12</t>
  </si>
  <si>
    <t xml:space="preserve">LM5166DRCT</t>
  </si>
  <si>
    <t xml:space="preserve">Texas Instruments</t>
  </si>
  <si>
    <t xml:space="preserve">C181495</t>
  </si>
  <si>
    <t xml:space="preserve">VSON-10 (DRC), 3 x 3 mm</t>
  </si>
  <si>
    <t xml:space="preserve">Step-down converter, 3-65 V in, 500 mA, PFET high side (100% duty cycle), VSON-10 3x3</t>
  </si>
  <si>
    <t xml:space="preserve">1S-6S input buck: VREG = 4.1 V (about VBAT on 1S). 350 in stock at LCSC on 2026-10-18: check before ordering</t>
  </si>
  <si>
    <t xml:space="preserve">U13</t>
  </si>
  <si>
    <t xml:space="preserve">SN74LV1T34DCKR</t>
  </si>
  <si>
    <t xml:space="preserve">C78541</t>
  </si>
  <si>
    <t xml:space="preserve">SC-70-5 (SOT-353)</t>
  </si>
  <si>
    <t xml:space="preserve">Single buffer, single supply 1.6-5.5 V, TTL-level inputs (VIH 2.0 V at 5 V), 5 V tolerant, SC-70-5</t>
  </si>
  <si>
    <t xml:space="preserve">LED data level shifter: PA7 (3.1-3.3 V) -&gt; VSYS level for the LED chain; VCC = VSYS, C50 decoupling; bottom side. LED data level shifter; ~24k in stock at LCSC on 2026-10-27</t>
  </si>
  <si>
    <t xml:space="preserve">Y1</t>
  </si>
  <si>
    <t xml:space="preserve">32MHz</t>
  </si>
  <si>
    <t xml:space="preserve">NX2016SA-32MHZ-STD-CZS-5</t>
  </si>
  <si>
    <t xml:space="preserve">NDK</t>
  </si>
  <si>
    <t xml:space="preserve">C843260</t>
  </si>
  <si>
    <t xml:space="preserve">SMD 2016, 4 pad, 2.0 x 1.6 mm</t>
  </si>
  <si>
    <t xml:space="preserve">Crystal, 32 MHz, 8 pF, +-10 ppm, SMD 2016, HSE for the STM32WB radio</t>
  </si>
  <si>
    <t xml:space="preserve">No load capacitors: internal HSE trimming (AN5042). Also the RF wake-up (HSE/1024) and RTC (HSE/32) clock: no LSE. Same NDK NX2016SA family and load capacitance (8 pF) as the ST-listed EXS00A-CS06654; no load capacitors (internal HSE trimming)</t>
  </si>
  <si>
    <t xml:space="preserve">Total</t>
  </si>
  <si>
    <t xml:space="preserve">Total placements (assembled parts)</t>
  </si>
  <si>
    <t xml:space="preserve">-</t>
  </si>
  <si>
    <t xml:space="preserve">line items (unique MPN / side)</t>
  </si>
  <si>
    <t xml:space="preserve">Not-assembled items listed below</t>
  </si>
  <si>
    <t xml:space="preserve">Not assembled (PCB features / off-board)</t>
  </si>
  <si>
    <t xml:space="preserve">NA1</t>
  </si>
  <si>
    <t xml:space="preserve">TP1, TP2, TP3, TP4, TP5, TP6, TP7, TP8</t>
  </si>
  <si>
    <t xml:space="preserve">pogo pad</t>
  </si>
  <si>
    <t xml:space="preserve">N/A (PCB feature)</t>
  </si>
  <si>
    <t xml:space="preserve">N/A</t>
  </si>
  <si>
    <t xml:space="preserve">TestPoint_Pad_D1.0mm: 1.0 mm round SMD pad</t>
  </si>
  <si>
    <t xml:space="preserve">Programming / debug pads, 2 x 4 grid at 2.54 mm pitch</t>
  </si>
  <si>
    <t xml:space="preserve">Row 1: SWDIO, SWCLK, NRST, BOOT0; row 2: VDD, GND, CRSF_TX, CRSF_RX (USART1, PB6/PB7). Use a 2.54 mm pogo-pin fixture</t>
  </si>
  <si>
    <t xml:space="preserve">NA2</t>
  </si>
  <si>
    <t xml:space="preserve">J7, J8</t>
  </si>
  <si>
    <t xml:space="preserve">solder pad</t>
  </si>
  <si>
    <t xml:space="preserve">TestPoint_Pad_2.0x2.0mm: 2 x 2 mm SMD pad</t>
  </si>
  <si>
    <t xml:space="preserve">Battery / power input pads: J7 VBAT+ (1S-6S), J8 GND</t>
  </si>
  <si>
    <t xml:space="preserve">Top side, left edge. FC supply only (no motor current): for ESCs without a VBAT pin or a separate PDB. Same VBAT net as ESC link A pin 2</t>
  </si>
  <si>
    <t xml:space="preserve">NA3</t>
  </si>
  <si>
    <t xml:space="preserve">H1, H2, H3, H4</t>
  </si>
  <si>
    <t xml:space="preserve">D3.2 PTH</t>
  </si>
  <si>
    <t xml:space="preserve">Grommet_PTH_3.2mm_Pad5.0mm: plated 3.2 mm hole, 5.0 mm ring</t>
  </si>
  <si>
    <t xml:space="preserve">Mounting holes for M2 anti-vibration grommets, 20 x 20 mm pattern</t>
  </si>
  <si>
    <t xml:space="preserve">Both (plated through)</t>
  </si>
  <si>
    <t xml:space="preserve">Exposed 5.0 mm GND copper ring on both sides (grommet seat). Grommets supplied with the frame</t>
  </si>
  <si>
    <t xml:space="preserve">NA4</t>
  </si>
  <si>
    <t xml:space="preserve">C36</t>
  </si>
  <si>
    <t xml:space="preserve">DNP</t>
  </si>
  <si>
    <t xml:space="preserve">TBD after VNA tuning (C0G capacitor or chip inductor)</t>
  </si>
  <si>
    <t xml:space="preserve">Murata (GRM1555C1H C0G or LQG15HS series)</t>
  </si>
  <si>
    <t xml:space="preserve">Antenna tuning, shunt position at the antenna side</t>
  </si>
  <si>
    <t xml:space="preserve">Do not populate. Fit only if the VNA measurement asks for it; R34 (series) is the other tuning spot</t>
  </si>
  <si>
    <t xml:space="preserve">ACwing FC rev A - component costing (assembled parts as ordered at JLCPCB, USD)</t>
  </si>
  <si>
    <t xml:space="preserve">Prices from distributors on 2026-10-15/17 (LCSC unless noted). "Quote" = price read for that exact MPN; "Estimate" = price of an equivalent part of the same series and size. PCB fabrication, assembly, stencil, shipping and duties are not included.</t>
  </si>
  <si>
    <t xml:space="preserve">USD -&gt; EUR exchange rate (edit):</t>
  </si>
  <si>
    <t xml:space="preserve">Qty / board</t>
  </si>
  <si>
    <t xml:space="preserve">Source / part #</t>
  </si>
  <si>
    <t xml:space="preserve">Unit price @ 10 boards (USD)</t>
  </si>
  <si>
    <t xml:space="preserve">Cost / board @ 10 boards (USD)</t>
  </si>
  <si>
    <t xml:space="preserve">Unit price @ 100 boards (USD)</t>
  </si>
  <si>
    <t xml:space="preserve">Cost / board @ 100 boards (USD)</t>
  </si>
  <si>
    <t xml:space="preserve">Price basis</t>
  </si>
  <si>
    <t xml:space="preserve">LCSC C17430588</t>
  </si>
  <si>
    <t xml:space="preserve">Quote</t>
  </si>
  <si>
    <t xml:space="preserve">Price from the JLC BOM tool (5 boards)</t>
  </si>
  <si>
    <t xml:space="preserve">LCSC C1525 (JLC Basic)</t>
  </si>
  <si>
    <t xml:space="preserve">MOQ 100</t>
  </si>
  <si>
    <t xml:space="preserve">LCSC C29823 (JLC Basic)</t>
  </si>
  <si>
    <t xml:space="preserve">Estimate</t>
  </si>
  <si>
    <t xml:space="preserve">LCSC C15008</t>
  </si>
  <si>
    <t xml:space="preserve">C7, C9</t>
  </si>
  <si>
    <t xml:space="preserve">LCSC C19666 (JLC Basic)</t>
  </si>
  <si>
    <t xml:space="preserve">C8, C22, C43</t>
  </si>
  <si>
    <t xml:space="preserve">LCSC C52923 (JLC Basic)</t>
  </si>
  <si>
    <t xml:space="preserve">LCSC C16772</t>
  </si>
  <si>
    <t xml:space="preserve">LCSC C19702 (JLC Basic)</t>
  </si>
  <si>
    <t xml:space="preserve">LCSC C1546 (JLC Basic)</t>
  </si>
  <si>
    <t xml:space="preserve">LCSC C23733</t>
  </si>
  <si>
    <t xml:space="preserve">Out of stock at LCSC on 2026-10-16: check JLC stock</t>
  </si>
  <si>
    <t xml:space="preserve">LCSC C12530 (JLC Basic)</t>
  </si>
  <si>
    <t xml:space="preserve">LCSC C45783 (JLC Basic)</t>
  </si>
  <si>
    <t xml:space="preserve">MOQ 20</t>
  </si>
  <si>
    <t xml:space="preserve">LCSC C15195 (JLC Basic)</t>
  </si>
  <si>
    <t xml:space="preserve">10 nF 50 V X7R</t>
  </si>
  <si>
    <t xml:space="preserve">LCSC C5349955</t>
  </si>
  <si>
    <t xml:space="preserve">XINGLIGHT, ~94k in stock on 2026-10-27 (replaces WS2812B-2020)</t>
  </si>
  <si>
    <t xml:space="preserve">LCSC C110921</t>
  </si>
  <si>
    <t xml:space="preserve">LCSC C165948</t>
  </si>
  <si>
    <t xml:space="preserve">MOQ 5 pcs</t>
  </si>
  <si>
    <t xml:space="preserve">J2, J6</t>
  </si>
  <si>
    <t xml:space="preserve">LCSC C160407</t>
  </si>
  <si>
    <t xml:space="preserve">JST SH 8P side entry (ESC link); price estimated</t>
  </si>
  <si>
    <t xml:space="preserve">J3, J4, J5</t>
  </si>
  <si>
    <t xml:space="preserve">LCSC C160404</t>
  </si>
  <si>
    <t xml:space="preserve">JST SH 4P side entry (Qwiic, ELRS); price estimated</t>
  </si>
  <si>
    <t xml:space="preserve">LCSC C55755</t>
  </si>
  <si>
    <t xml:space="preserve">LCSC C77103</t>
  </si>
  <si>
    <t xml:space="preserve">MOQ 50</t>
  </si>
  <si>
    <t xml:space="preserve">LCSC C68434</t>
  </si>
  <si>
    <t xml:space="preserve">Sunlord 22 uH 5x5x4, price estimated (same series)</t>
  </si>
  <si>
    <t xml:space="preserve">LCSC C15127</t>
  </si>
  <si>
    <t xml:space="preserve">R2, R4, R8, R10, R11</t>
  </si>
  <si>
    <t xml:space="preserve">LCSC C25741 (JLC Basic)</t>
  </si>
  <si>
    <t xml:space="preserve">LCSC C42921050</t>
  </si>
  <si>
    <t xml:space="preserve">LCSC C25744 (JLC Basic)</t>
  </si>
  <si>
    <t xml:space="preserve">LCSC C25905 (JLC Basic)</t>
  </si>
  <si>
    <t xml:space="preserve">LCSC C25879 (JLC Basic)</t>
  </si>
  <si>
    <t xml:space="preserve">LCSC C25900 (JLC Basic)</t>
  </si>
  <si>
    <t xml:space="preserve">LCSC C25076 (JLC Basic)</t>
  </si>
  <si>
    <t xml:space="preserve">LCSC C17168 (JLC Basic)</t>
  </si>
  <si>
    <t xml:space="preserve">LCSC C25105 (JLC Basic)</t>
  </si>
  <si>
    <t xml:space="preserve">LCSC C25792 (JLC Basic)</t>
  </si>
  <si>
    <t xml:space="preserve">LCSC C25756 (JLC Basic)</t>
  </si>
  <si>
    <t xml:space="preserve">LCSC C11702 (JLC Basic)</t>
  </si>
  <si>
    <t xml:space="preserve">LCSC C25790 (JLC Basic)</t>
  </si>
  <si>
    <t xml:space="preserve">LCSC C25764 (JLC Basic)</t>
  </si>
  <si>
    <t xml:space="preserve">LCSC C5267406</t>
  </si>
  <si>
    <t xml:space="preserve">LCSC C404023</t>
  </si>
  <si>
    <t xml:space="preserve">Out of stock at LCSC/JLC (2026-10-27): consigned part; Mouser/DigiKey 7.22 USD @10, 6.16-6.31 USD @100</t>
  </si>
  <si>
    <t xml:space="preserve">LCSC C2655002</t>
  </si>
  <si>
    <t xml:space="preserve">LCSC C2827824</t>
  </si>
  <si>
    <t xml:space="preserve">Replaces LPS22HBTR (out of stock); 70 pcs at LCSC on 2026-10-27</t>
  </si>
  <si>
    <t xml:space="preserve">LCSC C2798213</t>
  </si>
  <si>
    <t xml:space="preserve">LCSC C7519</t>
  </si>
  <si>
    <t xml:space="preserve">LCSC C2651048</t>
  </si>
  <si>
    <t xml:space="preserve">LCSC C190862</t>
  </si>
  <si>
    <t xml:space="preserve">16 MB log flash, price estimated</t>
  </si>
  <si>
    <t xml:space="preserve">LCSC C157446</t>
  </si>
  <si>
    <t xml:space="preserve">1,162 in stock on 2026-10-17</t>
  </si>
  <si>
    <t xml:space="preserve">LCSC C181495</t>
  </si>
  <si>
    <t xml:space="preserve">350 in stock on 2026-10-18 (30+ tier used for 100 boards)</t>
  </si>
  <si>
    <t xml:space="preserve">LCSC C78541</t>
  </si>
  <si>
    <t xml:space="preserve">TI, ~24.5k in stock on 2026-10-27 (LED data level shifter)</t>
  </si>
  <si>
    <t xml:space="preserve">LCSC C843260</t>
  </si>
  <si>
    <t xml:space="preserve">NDK 32 MHz 8 pF +-10 ppm</t>
  </si>
  <si>
    <t xml:space="preserve">Components per board (USD)</t>
  </si>
  <si>
    <t xml:space="preserve">placements</t>
  </si>
  <si>
    <t xml:space="preserve">Sum of the cost per board</t>
  </si>
  <si>
    <t xml:space="preserve">Components per board (EUR)</t>
  </si>
  <si>
    <t xml:space="preserve">At the exchange rate in C3</t>
  </si>
  <si>
    <t xml:space="preserve">Whole batch (USD)</t>
  </si>
  <si>
    <t xml:space="preserve">10 boards / 100 boards</t>
  </si>
  <si>
    <t xml:space="preserve">Share of U2 + sensors (U1, U3, U4)</t>
  </si>
  <si>
    <t xml:space="preserve">MCU and MEMS sensors</t>
  </si>
  <si>
    <t xml:space="preserve">Not included: C36 (DNP), pads/holes (PCB features), the ESC / power board and its cable, grommets. JLCPCB PCBA adds a setup fee per unique "extended" part (most ICs here) on top of the component price.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</si>
</sst>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DDEBF7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48"/>
    <col collapsed="false" customWidth="true" hidden="false" outlineLevel="0" max="10" min="10" style="0" width="8"/>
    <col collapsed="false" customWidth="true" hidden="false" outlineLevel="0" max="11" min="11" style="0" width="50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5.05" hidden="false" customHeight="false" outlineLevel="0" collapsed="false">
      <c r="A5" s="5" t="n">
        <v>1</v>
      </c>
      <c r="B5" s="5" t="n">
        <v>1</v>
      </c>
      <c r="C5" s="6" t="s">
        <v>13</v>
      </c>
      <c r="D5" s="6" t="s">
        <v>14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</row>
    <row r="6" customFormat="false" ht="35.05" hidden="false" customHeight="false" outlineLevel="0" collapsed="false">
      <c r="A6" s="7" t="n">
        <v>2</v>
      </c>
      <c r="B6" s="7" t="n">
        <v>19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</row>
    <row r="7" customFormat="false" ht="23.85" hidden="false" customHeight="false" outlineLevel="0" collapsed="false">
      <c r="A7" s="5" t="n">
        <v>3</v>
      </c>
      <c r="B7" s="5" t="n">
        <v>2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19</v>
      </c>
      <c r="K7" s="6" t="s">
        <v>37</v>
      </c>
    </row>
    <row r="8" customFormat="false" ht="23.85" hidden="false" customHeight="false" outlineLevel="0" collapsed="false">
      <c r="A8" s="7" t="n">
        <v>4</v>
      </c>
      <c r="B8" s="7" t="n">
        <v>1</v>
      </c>
      <c r="C8" s="8" t="s">
        <v>38</v>
      </c>
      <c r="D8" s="8" t="s">
        <v>39</v>
      </c>
      <c r="E8" s="8" t="s">
        <v>40</v>
      </c>
      <c r="F8" s="8" t="s">
        <v>24</v>
      </c>
      <c r="G8" s="8" t="s">
        <v>41</v>
      </c>
      <c r="H8" s="8" t="s">
        <v>35</v>
      </c>
      <c r="I8" s="8" t="s">
        <v>42</v>
      </c>
      <c r="J8" s="8" t="s">
        <v>19</v>
      </c>
      <c r="K8" s="8" t="s">
        <v>43</v>
      </c>
    </row>
    <row r="9" customFormat="false" ht="23.85" hidden="false" customHeight="false" outlineLevel="0" collapsed="false">
      <c r="A9" s="5" t="n">
        <v>5</v>
      </c>
      <c r="B9" s="5" t="n">
        <v>1</v>
      </c>
      <c r="C9" s="6" t="s">
        <v>44</v>
      </c>
      <c r="D9" s="6" t="s">
        <v>45</v>
      </c>
      <c r="E9" s="6" t="s">
        <v>46</v>
      </c>
      <c r="F9" s="6" t="s">
        <v>24</v>
      </c>
      <c r="G9" s="6" t="s">
        <v>47</v>
      </c>
      <c r="H9" s="6" t="s">
        <v>48</v>
      </c>
      <c r="I9" s="6" t="s">
        <v>49</v>
      </c>
      <c r="J9" s="6" t="s">
        <v>19</v>
      </c>
      <c r="K9" s="6" t="s">
        <v>50</v>
      </c>
    </row>
    <row r="10" customFormat="false" ht="23.85" hidden="false" customHeight="false" outlineLevel="0" collapsed="false">
      <c r="A10" s="7" t="n">
        <v>6</v>
      </c>
      <c r="B10" s="7" t="n">
        <v>1</v>
      </c>
      <c r="C10" s="8" t="s">
        <v>51</v>
      </c>
      <c r="D10" s="8" t="s">
        <v>52</v>
      </c>
      <c r="E10" s="8" t="s">
        <v>53</v>
      </c>
      <c r="F10" s="8" t="s">
        <v>24</v>
      </c>
      <c r="G10" s="8" t="s">
        <v>54</v>
      </c>
      <c r="H10" s="8" t="s">
        <v>26</v>
      </c>
      <c r="I10" s="8" t="s">
        <v>55</v>
      </c>
      <c r="J10" s="8" t="s">
        <v>19</v>
      </c>
      <c r="K10" s="8" t="s">
        <v>56</v>
      </c>
    </row>
    <row r="11" customFormat="false" ht="23.85" hidden="false" customHeight="false" outlineLevel="0" collapsed="false">
      <c r="A11" s="5" t="n">
        <v>7</v>
      </c>
      <c r="B11" s="5" t="n">
        <v>1</v>
      </c>
      <c r="C11" s="6" t="s">
        <v>57</v>
      </c>
      <c r="D11" s="6" t="s">
        <v>45</v>
      </c>
      <c r="E11" s="6" t="s">
        <v>46</v>
      </c>
      <c r="F11" s="6" t="s">
        <v>24</v>
      </c>
      <c r="G11" s="6" t="s">
        <v>47</v>
      </c>
      <c r="H11" s="6" t="s">
        <v>48</v>
      </c>
      <c r="I11" s="6" t="s">
        <v>49</v>
      </c>
      <c r="J11" s="6" t="s">
        <v>28</v>
      </c>
      <c r="K11" s="6" t="s">
        <v>50</v>
      </c>
    </row>
    <row r="12" customFormat="false" ht="23.85" hidden="false" customHeight="false" outlineLevel="0" collapsed="false">
      <c r="A12" s="7" t="n">
        <v>8</v>
      </c>
      <c r="B12" s="7" t="n">
        <v>1</v>
      </c>
      <c r="C12" s="8" t="s">
        <v>58</v>
      </c>
      <c r="D12" s="8" t="s">
        <v>59</v>
      </c>
      <c r="E12" s="8" t="s">
        <v>60</v>
      </c>
      <c r="F12" s="8" t="s">
        <v>24</v>
      </c>
      <c r="G12" s="8" t="s">
        <v>61</v>
      </c>
      <c r="H12" s="8" t="s">
        <v>26</v>
      </c>
      <c r="I12" s="8" t="s">
        <v>62</v>
      </c>
      <c r="J12" s="8" t="s">
        <v>28</v>
      </c>
      <c r="K12" s="8" t="s">
        <v>63</v>
      </c>
    </row>
    <row r="13" customFormat="false" ht="23.85" hidden="false" customHeight="false" outlineLevel="0" collapsed="false">
      <c r="A13" s="5" t="n">
        <v>9</v>
      </c>
      <c r="B13" s="5" t="n">
        <v>1</v>
      </c>
      <c r="C13" s="6" t="s">
        <v>64</v>
      </c>
      <c r="D13" s="6" t="s">
        <v>65</v>
      </c>
      <c r="E13" s="6" t="s">
        <v>66</v>
      </c>
      <c r="F13" s="6" t="s">
        <v>24</v>
      </c>
      <c r="G13" s="6" t="s">
        <v>67</v>
      </c>
      <c r="H13" s="6" t="s">
        <v>48</v>
      </c>
      <c r="I13" s="6" t="s">
        <v>68</v>
      </c>
      <c r="J13" s="6" t="s">
        <v>28</v>
      </c>
      <c r="K13" s="6" t="s">
        <v>69</v>
      </c>
    </row>
    <row r="14" customFormat="false" ht="23.85" hidden="false" customHeight="false" outlineLevel="0" collapsed="false">
      <c r="A14" s="7" t="n">
        <v>10</v>
      </c>
      <c r="B14" s="7" t="n">
        <v>2</v>
      </c>
      <c r="C14" s="8" t="s">
        <v>70</v>
      </c>
      <c r="D14" s="8" t="s">
        <v>52</v>
      </c>
      <c r="E14" s="8" t="s">
        <v>53</v>
      </c>
      <c r="F14" s="8" t="s">
        <v>24</v>
      </c>
      <c r="G14" s="8" t="s">
        <v>54</v>
      </c>
      <c r="H14" s="8" t="s">
        <v>26</v>
      </c>
      <c r="I14" s="8" t="s">
        <v>55</v>
      </c>
      <c r="J14" s="8" t="s">
        <v>28</v>
      </c>
      <c r="K14" s="8" t="s">
        <v>56</v>
      </c>
    </row>
    <row r="15" customFormat="false" ht="23.85" hidden="false" customHeight="false" outlineLevel="0" collapsed="false">
      <c r="A15" s="5" t="n">
        <v>11</v>
      </c>
      <c r="B15" s="5" t="n">
        <v>1</v>
      </c>
      <c r="C15" s="6" t="s">
        <v>71</v>
      </c>
      <c r="D15" s="6" t="s">
        <v>72</v>
      </c>
      <c r="E15" s="6" t="s">
        <v>73</v>
      </c>
      <c r="F15" s="6" t="s">
        <v>33</v>
      </c>
      <c r="G15" s="6" t="s">
        <v>74</v>
      </c>
      <c r="H15" s="6" t="s">
        <v>26</v>
      </c>
      <c r="I15" s="6" t="s">
        <v>75</v>
      </c>
      <c r="J15" s="6" t="s">
        <v>28</v>
      </c>
      <c r="K15" s="6" t="s">
        <v>76</v>
      </c>
    </row>
    <row r="16" customFormat="false" ht="23.85" hidden="false" customHeight="false" outlineLevel="0" collapsed="false">
      <c r="A16" s="7" t="n">
        <v>12</v>
      </c>
      <c r="B16" s="7" t="n">
        <v>1</v>
      </c>
      <c r="C16" s="8" t="s">
        <v>77</v>
      </c>
      <c r="D16" s="8" t="s">
        <v>45</v>
      </c>
      <c r="E16" s="8" t="s">
        <v>78</v>
      </c>
      <c r="F16" s="8" t="s">
        <v>24</v>
      </c>
      <c r="G16" s="8" t="s">
        <v>79</v>
      </c>
      <c r="H16" s="8" t="s">
        <v>26</v>
      </c>
      <c r="I16" s="8" t="s">
        <v>80</v>
      </c>
      <c r="J16" s="8" t="s">
        <v>28</v>
      </c>
      <c r="K16" s="8" t="s">
        <v>81</v>
      </c>
    </row>
    <row r="17" customFormat="false" ht="23.85" hidden="false" customHeight="false" outlineLevel="0" collapsed="false">
      <c r="A17" s="5" t="n">
        <v>13</v>
      </c>
      <c r="B17" s="5" t="n">
        <v>1</v>
      </c>
      <c r="C17" s="6" t="s">
        <v>82</v>
      </c>
      <c r="D17" s="6" t="s">
        <v>83</v>
      </c>
      <c r="E17" s="6" t="s">
        <v>84</v>
      </c>
      <c r="F17" s="6" t="s">
        <v>24</v>
      </c>
      <c r="G17" s="6" t="s">
        <v>85</v>
      </c>
      <c r="H17" s="6" t="s">
        <v>26</v>
      </c>
      <c r="I17" s="6" t="s">
        <v>86</v>
      </c>
      <c r="J17" s="6" t="s">
        <v>28</v>
      </c>
      <c r="K17" s="6" t="s">
        <v>87</v>
      </c>
    </row>
    <row r="18" customFormat="false" ht="23.85" hidden="false" customHeight="false" outlineLevel="0" collapsed="false">
      <c r="A18" s="7" t="n">
        <v>14</v>
      </c>
      <c r="B18" s="7" t="n">
        <v>1</v>
      </c>
      <c r="C18" s="8" t="s">
        <v>88</v>
      </c>
      <c r="D18" s="8" t="s">
        <v>89</v>
      </c>
      <c r="E18" s="8" t="s">
        <v>90</v>
      </c>
      <c r="F18" s="8" t="s">
        <v>24</v>
      </c>
      <c r="G18" s="8" t="s">
        <v>91</v>
      </c>
      <c r="H18" s="8" t="s">
        <v>92</v>
      </c>
      <c r="I18" s="8" t="s">
        <v>93</v>
      </c>
      <c r="J18" s="8" t="s">
        <v>19</v>
      </c>
      <c r="K18" s="8" t="s">
        <v>94</v>
      </c>
    </row>
    <row r="19" customFormat="false" ht="23.85" hidden="false" customHeight="false" outlineLevel="0" collapsed="false">
      <c r="A19" s="5" t="n">
        <v>15</v>
      </c>
      <c r="B19" s="5" t="n">
        <v>1</v>
      </c>
      <c r="C19" s="6" t="s">
        <v>95</v>
      </c>
      <c r="D19" s="6" t="s">
        <v>96</v>
      </c>
      <c r="E19" s="6" t="s">
        <v>97</v>
      </c>
      <c r="F19" s="6" t="s">
        <v>24</v>
      </c>
      <c r="G19" s="6" t="s">
        <v>98</v>
      </c>
      <c r="H19" s="6" t="s">
        <v>26</v>
      </c>
      <c r="I19" s="6" t="s">
        <v>99</v>
      </c>
      <c r="J19" s="6" t="s">
        <v>19</v>
      </c>
      <c r="K19" s="6" t="s">
        <v>100</v>
      </c>
    </row>
    <row r="20" customFormat="false" ht="57.45" hidden="false" customHeight="false" outlineLevel="0" collapsed="false">
      <c r="A20" s="7" t="n">
        <v>16</v>
      </c>
      <c r="B20" s="7" t="n">
        <v>4</v>
      </c>
      <c r="C20" s="8" t="s">
        <v>101</v>
      </c>
      <c r="D20" s="8" t="s">
        <v>102</v>
      </c>
      <c r="E20" s="8" t="s">
        <v>102</v>
      </c>
      <c r="F20" s="8" t="s">
        <v>103</v>
      </c>
      <c r="G20" s="8" t="s">
        <v>104</v>
      </c>
      <c r="H20" s="8" t="s">
        <v>105</v>
      </c>
      <c r="I20" s="8" t="s">
        <v>106</v>
      </c>
      <c r="J20" s="8" t="s">
        <v>19</v>
      </c>
      <c r="K20" s="8" t="s">
        <v>107</v>
      </c>
    </row>
    <row r="21" customFormat="false" ht="15" hidden="false" customHeight="false" outlineLevel="0" collapsed="false">
      <c r="A21" s="5" t="n">
        <v>17</v>
      </c>
      <c r="B21" s="5" t="n">
        <v>1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112</v>
      </c>
      <c r="H21" s="6" t="s">
        <v>113</v>
      </c>
      <c r="I21" s="6" t="s">
        <v>114</v>
      </c>
      <c r="J21" s="6" t="s">
        <v>19</v>
      </c>
      <c r="K21" s="6" t="s">
        <v>115</v>
      </c>
    </row>
    <row r="22" customFormat="false" ht="23.85" hidden="false" customHeight="false" outlineLevel="0" collapsed="false">
      <c r="A22" s="7" t="n">
        <v>18</v>
      </c>
      <c r="B22" s="7" t="n">
        <v>1</v>
      </c>
      <c r="C22" s="8" t="s">
        <v>116</v>
      </c>
      <c r="D22" s="8" t="s">
        <v>117</v>
      </c>
      <c r="E22" s="8" t="s">
        <v>118</v>
      </c>
      <c r="F22" s="8" t="s">
        <v>119</v>
      </c>
      <c r="G22" s="8" t="s">
        <v>120</v>
      </c>
      <c r="H22" s="8" t="s">
        <v>121</v>
      </c>
      <c r="I22" s="8" t="s">
        <v>122</v>
      </c>
      <c r="J22" s="8" t="s">
        <v>19</v>
      </c>
      <c r="K22" s="8" t="s">
        <v>123</v>
      </c>
    </row>
    <row r="23" customFormat="false" ht="23.85" hidden="false" customHeight="false" outlineLevel="0" collapsed="false">
      <c r="A23" s="5" t="n">
        <v>19</v>
      </c>
      <c r="B23" s="5" t="n">
        <v>1</v>
      </c>
      <c r="C23" s="6" t="s">
        <v>124</v>
      </c>
      <c r="D23" s="6" t="s">
        <v>125</v>
      </c>
      <c r="E23" s="6" t="s">
        <v>126</v>
      </c>
      <c r="F23" s="6" t="s">
        <v>127</v>
      </c>
      <c r="G23" s="6" t="s">
        <v>128</v>
      </c>
      <c r="H23" s="6" t="s">
        <v>129</v>
      </c>
      <c r="I23" s="6" t="s">
        <v>130</v>
      </c>
      <c r="J23" s="6" t="s">
        <v>19</v>
      </c>
      <c r="K23" s="6" t="s">
        <v>131</v>
      </c>
    </row>
    <row r="24" customFormat="false" ht="23.85" hidden="false" customHeight="false" outlineLevel="0" collapsed="false">
      <c r="A24" s="7" t="n">
        <v>20</v>
      </c>
      <c r="B24" s="7" t="n">
        <v>2</v>
      </c>
      <c r="C24" s="8" t="s">
        <v>132</v>
      </c>
      <c r="D24" s="8" t="s">
        <v>133</v>
      </c>
      <c r="E24" s="8" t="s">
        <v>134</v>
      </c>
      <c r="F24" s="8" t="s">
        <v>127</v>
      </c>
      <c r="G24" s="8" t="s">
        <v>135</v>
      </c>
      <c r="H24" s="8" t="s">
        <v>136</v>
      </c>
      <c r="I24" s="8" t="s">
        <v>137</v>
      </c>
      <c r="J24" s="8" t="s">
        <v>19</v>
      </c>
      <c r="K24" s="8" t="s">
        <v>138</v>
      </c>
    </row>
    <row r="25" customFormat="false" ht="23.85" hidden="false" customHeight="false" outlineLevel="0" collapsed="false">
      <c r="A25" s="5" t="n">
        <v>21</v>
      </c>
      <c r="B25" s="5" t="n">
        <v>1</v>
      </c>
      <c r="C25" s="6" t="s">
        <v>139</v>
      </c>
      <c r="D25" s="6" t="s">
        <v>140</v>
      </c>
      <c r="E25" s="6" t="s">
        <v>134</v>
      </c>
      <c r="F25" s="6" t="s">
        <v>127</v>
      </c>
      <c r="G25" s="6" t="s">
        <v>135</v>
      </c>
      <c r="H25" s="6" t="s">
        <v>136</v>
      </c>
      <c r="I25" s="6" t="s">
        <v>137</v>
      </c>
      <c r="J25" s="6" t="s">
        <v>19</v>
      </c>
      <c r="K25" s="6" t="s">
        <v>141</v>
      </c>
    </row>
    <row r="26" customFormat="false" ht="23.85" hidden="false" customHeight="false" outlineLevel="0" collapsed="false">
      <c r="A26" s="7" t="n">
        <v>22</v>
      </c>
      <c r="B26" s="7" t="n">
        <v>1</v>
      </c>
      <c r="C26" s="8" t="s">
        <v>142</v>
      </c>
      <c r="D26" s="8" t="s">
        <v>143</v>
      </c>
      <c r="E26" s="8" t="s">
        <v>126</v>
      </c>
      <c r="F26" s="8" t="s">
        <v>127</v>
      </c>
      <c r="G26" s="8" t="s">
        <v>128</v>
      </c>
      <c r="H26" s="8" t="s">
        <v>129</v>
      </c>
      <c r="I26" s="8" t="s">
        <v>130</v>
      </c>
      <c r="J26" s="8" t="s">
        <v>19</v>
      </c>
      <c r="K26" s="8" t="s">
        <v>144</v>
      </c>
    </row>
    <row r="27" customFormat="false" ht="35.05" hidden="false" customHeight="false" outlineLevel="0" collapsed="false">
      <c r="A27" s="5" t="n">
        <v>23</v>
      </c>
      <c r="B27" s="5" t="n">
        <v>1</v>
      </c>
      <c r="C27" s="6" t="s">
        <v>145</v>
      </c>
      <c r="D27" s="6" t="s">
        <v>146</v>
      </c>
      <c r="E27" s="6" t="s">
        <v>147</v>
      </c>
      <c r="F27" s="6" t="s">
        <v>148</v>
      </c>
      <c r="G27" s="6" t="s">
        <v>149</v>
      </c>
      <c r="H27" s="6" t="s">
        <v>150</v>
      </c>
      <c r="I27" s="6" t="s">
        <v>151</v>
      </c>
      <c r="J27" s="6" t="s">
        <v>28</v>
      </c>
      <c r="K27" s="6" t="s">
        <v>152</v>
      </c>
    </row>
    <row r="28" customFormat="false" ht="23.85" hidden="false" customHeight="false" outlineLevel="0" collapsed="false">
      <c r="A28" s="7" t="n">
        <v>24</v>
      </c>
      <c r="B28" s="7" t="n">
        <v>1</v>
      </c>
      <c r="C28" s="8" t="s">
        <v>153</v>
      </c>
      <c r="D28" s="8" t="s">
        <v>154</v>
      </c>
      <c r="E28" s="8" t="s">
        <v>155</v>
      </c>
      <c r="F28" s="8" t="s">
        <v>156</v>
      </c>
      <c r="G28" s="8" t="s">
        <v>157</v>
      </c>
      <c r="H28" s="8" t="s">
        <v>26</v>
      </c>
      <c r="I28" s="8" t="s">
        <v>158</v>
      </c>
      <c r="J28" s="8" t="s">
        <v>28</v>
      </c>
      <c r="K28" s="8" t="s">
        <v>159</v>
      </c>
    </row>
    <row r="29" customFormat="false" ht="23.85" hidden="false" customHeight="false" outlineLevel="0" collapsed="false">
      <c r="A29" s="5" t="n">
        <v>25</v>
      </c>
      <c r="B29" s="5" t="n">
        <v>1</v>
      </c>
      <c r="C29" s="6" t="s">
        <v>160</v>
      </c>
      <c r="D29" s="6" t="s">
        <v>161</v>
      </c>
      <c r="E29" s="6" t="s">
        <v>162</v>
      </c>
      <c r="F29" s="6" t="s">
        <v>148</v>
      </c>
      <c r="G29" s="6" t="s">
        <v>163</v>
      </c>
      <c r="H29" s="6" t="s">
        <v>164</v>
      </c>
      <c r="I29" s="6" t="s">
        <v>165</v>
      </c>
      <c r="J29" s="6" t="s">
        <v>19</v>
      </c>
      <c r="K29" s="6" t="s">
        <v>166</v>
      </c>
    </row>
    <row r="30" customFormat="false" ht="23.85" hidden="false" customHeight="false" outlineLevel="0" collapsed="false">
      <c r="A30" s="7" t="n">
        <v>26</v>
      </c>
      <c r="B30" s="7" t="n">
        <v>1</v>
      </c>
      <c r="C30" s="8" t="s">
        <v>167</v>
      </c>
      <c r="D30" s="8" t="s">
        <v>168</v>
      </c>
      <c r="E30" s="8" t="s">
        <v>168</v>
      </c>
      <c r="F30" s="8" t="s">
        <v>169</v>
      </c>
      <c r="G30" s="8" t="s">
        <v>170</v>
      </c>
      <c r="H30" s="8" t="s">
        <v>171</v>
      </c>
      <c r="I30" s="8" t="s">
        <v>172</v>
      </c>
      <c r="J30" s="8" t="s">
        <v>19</v>
      </c>
      <c r="K30" s="8" t="s">
        <v>173</v>
      </c>
    </row>
    <row r="31" customFormat="false" ht="23.85" hidden="false" customHeight="false" outlineLevel="0" collapsed="false">
      <c r="A31" s="5" t="n">
        <v>27</v>
      </c>
      <c r="B31" s="5" t="n">
        <v>1</v>
      </c>
      <c r="C31" s="6" t="s">
        <v>174</v>
      </c>
      <c r="D31" s="6" t="s">
        <v>175</v>
      </c>
      <c r="E31" s="6" t="s">
        <v>176</v>
      </c>
      <c r="F31" s="6" t="s">
        <v>177</v>
      </c>
      <c r="G31" s="6" t="s">
        <v>178</v>
      </c>
      <c r="H31" s="6" t="s">
        <v>26</v>
      </c>
      <c r="I31" s="6" t="s">
        <v>179</v>
      </c>
      <c r="J31" s="6" t="s">
        <v>19</v>
      </c>
      <c r="K31" s="6" t="s">
        <v>180</v>
      </c>
    </row>
    <row r="32" customFormat="false" ht="15" hidden="false" customHeight="false" outlineLevel="0" collapsed="false">
      <c r="A32" s="7" t="n">
        <v>28</v>
      </c>
      <c r="B32" s="7" t="n">
        <v>1</v>
      </c>
      <c r="C32" s="8" t="s">
        <v>181</v>
      </c>
      <c r="D32" s="8" t="s">
        <v>182</v>
      </c>
      <c r="E32" s="8" t="s">
        <v>183</v>
      </c>
      <c r="F32" s="8" t="s">
        <v>33</v>
      </c>
      <c r="G32" s="8" t="s">
        <v>184</v>
      </c>
      <c r="H32" s="8" t="s">
        <v>26</v>
      </c>
      <c r="I32" s="8" t="s">
        <v>185</v>
      </c>
      <c r="J32" s="8" t="s">
        <v>19</v>
      </c>
      <c r="K32" s="8" t="s">
        <v>186</v>
      </c>
    </row>
    <row r="33" customFormat="false" ht="23.85" hidden="false" customHeight="false" outlineLevel="0" collapsed="false">
      <c r="A33" s="5" t="n">
        <v>29</v>
      </c>
      <c r="B33" s="5" t="n">
        <v>1</v>
      </c>
      <c r="C33" s="6" t="s">
        <v>187</v>
      </c>
      <c r="D33" s="6" t="s">
        <v>188</v>
      </c>
      <c r="E33" s="6" t="s">
        <v>176</v>
      </c>
      <c r="F33" s="6" t="s">
        <v>177</v>
      </c>
      <c r="G33" s="6" t="s">
        <v>178</v>
      </c>
      <c r="H33" s="6" t="s">
        <v>26</v>
      </c>
      <c r="I33" s="6" t="s">
        <v>179</v>
      </c>
      <c r="J33" s="6" t="s">
        <v>19</v>
      </c>
      <c r="K33" s="6" t="s">
        <v>189</v>
      </c>
    </row>
    <row r="34" customFormat="false" ht="23.85" hidden="false" customHeight="false" outlineLevel="0" collapsed="false">
      <c r="A34" s="7" t="n">
        <v>30</v>
      </c>
      <c r="B34" s="7" t="n">
        <v>1</v>
      </c>
      <c r="C34" s="8" t="s">
        <v>190</v>
      </c>
      <c r="D34" s="8" t="s">
        <v>188</v>
      </c>
      <c r="E34" s="8" t="s">
        <v>176</v>
      </c>
      <c r="F34" s="8" t="s">
        <v>177</v>
      </c>
      <c r="G34" s="8" t="s">
        <v>178</v>
      </c>
      <c r="H34" s="8" t="s">
        <v>26</v>
      </c>
      <c r="I34" s="8" t="s">
        <v>179</v>
      </c>
      <c r="J34" s="8" t="s">
        <v>28</v>
      </c>
      <c r="K34" s="8" t="s">
        <v>189</v>
      </c>
    </row>
    <row r="35" customFormat="false" ht="23.85" hidden="false" customHeight="false" outlineLevel="0" collapsed="false">
      <c r="A35" s="5" t="n">
        <v>31</v>
      </c>
      <c r="B35" s="5" t="n">
        <v>4</v>
      </c>
      <c r="C35" s="6" t="s">
        <v>191</v>
      </c>
      <c r="D35" s="6" t="s">
        <v>192</v>
      </c>
      <c r="E35" s="6" t="s">
        <v>193</v>
      </c>
      <c r="F35" s="6" t="s">
        <v>177</v>
      </c>
      <c r="G35" s="6" t="s">
        <v>194</v>
      </c>
      <c r="H35" s="6" t="s">
        <v>26</v>
      </c>
      <c r="I35" s="6" t="s">
        <v>195</v>
      </c>
      <c r="J35" s="6" t="s">
        <v>28</v>
      </c>
      <c r="K35" s="6" t="s">
        <v>196</v>
      </c>
    </row>
    <row r="36" customFormat="false" ht="23.85" hidden="false" customHeight="false" outlineLevel="0" collapsed="false">
      <c r="A36" s="7" t="n">
        <v>32</v>
      </c>
      <c r="B36" s="7" t="n">
        <v>2</v>
      </c>
      <c r="C36" s="8" t="s">
        <v>197</v>
      </c>
      <c r="D36" s="8" t="s">
        <v>175</v>
      </c>
      <c r="E36" s="8" t="s">
        <v>176</v>
      </c>
      <c r="F36" s="8" t="s">
        <v>177</v>
      </c>
      <c r="G36" s="8" t="s">
        <v>178</v>
      </c>
      <c r="H36" s="8" t="s">
        <v>26</v>
      </c>
      <c r="I36" s="8" t="s">
        <v>179</v>
      </c>
      <c r="J36" s="8" t="s">
        <v>28</v>
      </c>
      <c r="K36" s="8" t="s">
        <v>180</v>
      </c>
    </row>
    <row r="37" customFormat="false" ht="15" hidden="false" customHeight="false" outlineLevel="0" collapsed="false">
      <c r="A37" s="5" t="n">
        <v>33</v>
      </c>
      <c r="B37" s="5" t="n">
        <v>2</v>
      </c>
      <c r="C37" s="6" t="s">
        <v>198</v>
      </c>
      <c r="D37" s="6" t="s">
        <v>199</v>
      </c>
      <c r="E37" s="6" t="s">
        <v>200</v>
      </c>
      <c r="F37" s="6" t="s">
        <v>177</v>
      </c>
      <c r="G37" s="6" t="s">
        <v>201</v>
      </c>
      <c r="H37" s="6" t="s">
        <v>26</v>
      </c>
      <c r="I37" s="6" t="s">
        <v>202</v>
      </c>
      <c r="J37" s="6" t="s">
        <v>28</v>
      </c>
      <c r="K37" s="6" t="s">
        <v>203</v>
      </c>
    </row>
    <row r="38" customFormat="false" ht="15" hidden="false" customHeight="false" outlineLevel="0" collapsed="false">
      <c r="A38" s="7" t="n">
        <v>34</v>
      </c>
      <c r="B38" s="7" t="n">
        <v>2</v>
      </c>
      <c r="C38" s="8" t="s">
        <v>204</v>
      </c>
      <c r="D38" s="8" t="s">
        <v>205</v>
      </c>
      <c r="E38" s="8" t="s">
        <v>206</v>
      </c>
      <c r="F38" s="8" t="s">
        <v>177</v>
      </c>
      <c r="G38" s="8" t="s">
        <v>207</v>
      </c>
      <c r="H38" s="8" t="s">
        <v>26</v>
      </c>
      <c r="I38" s="8" t="s">
        <v>208</v>
      </c>
      <c r="J38" s="8" t="s">
        <v>28</v>
      </c>
      <c r="K38" s="8" t="s">
        <v>209</v>
      </c>
    </row>
    <row r="39" customFormat="false" ht="15" hidden="false" customHeight="false" outlineLevel="0" collapsed="false">
      <c r="A39" s="5" t="n">
        <v>35</v>
      </c>
      <c r="B39" s="5" t="n">
        <v>2</v>
      </c>
      <c r="C39" s="6" t="s">
        <v>210</v>
      </c>
      <c r="D39" s="6" t="s">
        <v>211</v>
      </c>
      <c r="E39" s="6" t="s">
        <v>212</v>
      </c>
      <c r="F39" s="6" t="s">
        <v>177</v>
      </c>
      <c r="G39" s="6" t="s">
        <v>213</v>
      </c>
      <c r="H39" s="6" t="s">
        <v>26</v>
      </c>
      <c r="I39" s="6" t="s">
        <v>214</v>
      </c>
      <c r="J39" s="6" t="s">
        <v>28</v>
      </c>
      <c r="K39" s="6" t="s">
        <v>215</v>
      </c>
    </row>
    <row r="40" customFormat="false" ht="23.85" hidden="false" customHeight="false" outlineLevel="0" collapsed="false">
      <c r="A40" s="7" t="n">
        <v>36</v>
      </c>
      <c r="B40" s="7" t="n">
        <v>9</v>
      </c>
      <c r="C40" s="8" t="s">
        <v>216</v>
      </c>
      <c r="D40" s="8" t="s">
        <v>217</v>
      </c>
      <c r="E40" s="8" t="s">
        <v>218</v>
      </c>
      <c r="F40" s="8" t="s">
        <v>177</v>
      </c>
      <c r="G40" s="8" t="s">
        <v>219</v>
      </c>
      <c r="H40" s="8" t="s">
        <v>26</v>
      </c>
      <c r="I40" s="8" t="s">
        <v>220</v>
      </c>
      <c r="J40" s="8" t="s">
        <v>28</v>
      </c>
      <c r="K40" s="8" t="s">
        <v>221</v>
      </c>
    </row>
    <row r="41" customFormat="false" ht="23.85" hidden="false" customHeight="false" outlineLevel="0" collapsed="false">
      <c r="A41" s="5" t="n">
        <v>37</v>
      </c>
      <c r="B41" s="5" t="n">
        <v>1</v>
      </c>
      <c r="C41" s="6" t="s">
        <v>222</v>
      </c>
      <c r="D41" s="6" t="s">
        <v>223</v>
      </c>
      <c r="E41" s="6" t="s">
        <v>224</v>
      </c>
      <c r="F41" s="6" t="s">
        <v>177</v>
      </c>
      <c r="G41" s="6" t="s">
        <v>225</v>
      </c>
      <c r="H41" s="6" t="s">
        <v>26</v>
      </c>
      <c r="I41" s="6" t="s">
        <v>226</v>
      </c>
      <c r="J41" s="6" t="s">
        <v>19</v>
      </c>
      <c r="K41" s="6" t="s">
        <v>227</v>
      </c>
    </row>
    <row r="42" customFormat="false" ht="15" hidden="false" customHeight="false" outlineLevel="0" collapsed="false">
      <c r="A42" s="7" t="n">
        <v>38</v>
      </c>
      <c r="B42" s="7" t="n">
        <v>1</v>
      </c>
      <c r="C42" s="8" t="s">
        <v>228</v>
      </c>
      <c r="D42" s="8" t="s">
        <v>229</v>
      </c>
      <c r="E42" s="8" t="s">
        <v>230</v>
      </c>
      <c r="F42" s="8" t="s">
        <v>177</v>
      </c>
      <c r="G42" s="8" t="s">
        <v>231</v>
      </c>
      <c r="H42" s="8" t="s">
        <v>26</v>
      </c>
      <c r="I42" s="8" t="s">
        <v>232</v>
      </c>
      <c r="J42" s="8" t="s">
        <v>28</v>
      </c>
      <c r="K42" s="8" t="s">
        <v>233</v>
      </c>
    </row>
    <row r="43" customFormat="false" ht="15" hidden="false" customHeight="false" outlineLevel="0" collapsed="false">
      <c r="A43" s="5" t="n">
        <v>39</v>
      </c>
      <c r="B43" s="5" t="n">
        <v>1</v>
      </c>
      <c r="C43" s="6" t="s">
        <v>234</v>
      </c>
      <c r="D43" s="6" t="s">
        <v>235</v>
      </c>
      <c r="E43" s="6" t="s">
        <v>236</v>
      </c>
      <c r="F43" s="6" t="s">
        <v>177</v>
      </c>
      <c r="G43" s="6" t="s">
        <v>237</v>
      </c>
      <c r="H43" s="6" t="s">
        <v>26</v>
      </c>
      <c r="I43" s="6" t="s">
        <v>238</v>
      </c>
      <c r="J43" s="6" t="s">
        <v>28</v>
      </c>
      <c r="K43" s="6" t="s">
        <v>239</v>
      </c>
    </row>
    <row r="44" customFormat="false" ht="15" hidden="false" customHeight="false" outlineLevel="0" collapsed="false">
      <c r="A44" s="7" t="n">
        <v>40</v>
      </c>
      <c r="B44" s="7" t="n">
        <v>1</v>
      </c>
      <c r="C44" s="8" t="s">
        <v>240</v>
      </c>
      <c r="D44" s="8" t="s">
        <v>241</v>
      </c>
      <c r="E44" s="8" t="s">
        <v>242</v>
      </c>
      <c r="F44" s="8" t="s">
        <v>177</v>
      </c>
      <c r="G44" s="8" t="s">
        <v>243</v>
      </c>
      <c r="H44" s="8" t="s">
        <v>26</v>
      </c>
      <c r="I44" s="8" t="s">
        <v>244</v>
      </c>
      <c r="J44" s="8" t="s">
        <v>28</v>
      </c>
      <c r="K44" s="8" t="s">
        <v>245</v>
      </c>
    </row>
    <row r="45" customFormat="false" ht="15" hidden="false" customHeight="false" outlineLevel="0" collapsed="false">
      <c r="A45" s="5" t="n">
        <v>41</v>
      </c>
      <c r="B45" s="5" t="n">
        <v>1</v>
      </c>
      <c r="C45" s="6" t="s">
        <v>246</v>
      </c>
      <c r="D45" s="6" t="s">
        <v>247</v>
      </c>
      <c r="E45" s="6" t="s">
        <v>248</v>
      </c>
      <c r="F45" s="6" t="s">
        <v>177</v>
      </c>
      <c r="G45" s="6" t="s">
        <v>249</v>
      </c>
      <c r="H45" s="6" t="s">
        <v>26</v>
      </c>
      <c r="I45" s="6" t="s">
        <v>250</v>
      </c>
      <c r="J45" s="6" t="s">
        <v>28</v>
      </c>
      <c r="K45" s="6" t="s">
        <v>251</v>
      </c>
    </row>
    <row r="46" customFormat="false" ht="15" hidden="false" customHeight="false" outlineLevel="0" collapsed="false">
      <c r="A46" s="7" t="n">
        <v>42</v>
      </c>
      <c r="B46" s="7" t="n">
        <v>1</v>
      </c>
      <c r="C46" s="8" t="s">
        <v>252</v>
      </c>
      <c r="D46" s="8" t="s">
        <v>253</v>
      </c>
      <c r="E46" s="8" t="s">
        <v>254</v>
      </c>
      <c r="F46" s="8" t="s">
        <v>177</v>
      </c>
      <c r="G46" s="8" t="s">
        <v>255</v>
      </c>
      <c r="H46" s="8" t="s">
        <v>26</v>
      </c>
      <c r="I46" s="8" t="s">
        <v>256</v>
      </c>
      <c r="J46" s="8" t="s">
        <v>19</v>
      </c>
      <c r="K46" s="8" t="s">
        <v>257</v>
      </c>
    </row>
    <row r="47" customFormat="false" ht="15" hidden="false" customHeight="false" outlineLevel="0" collapsed="false">
      <c r="A47" s="5" t="n">
        <v>43</v>
      </c>
      <c r="B47" s="5" t="n">
        <v>1</v>
      </c>
      <c r="C47" s="6" t="s">
        <v>258</v>
      </c>
      <c r="D47" s="6" t="s">
        <v>259</v>
      </c>
      <c r="E47" s="6" t="s">
        <v>260</v>
      </c>
      <c r="F47" s="6" t="s">
        <v>177</v>
      </c>
      <c r="G47" s="6" t="s">
        <v>261</v>
      </c>
      <c r="H47" s="6" t="s">
        <v>26</v>
      </c>
      <c r="I47" s="6" t="s">
        <v>262</v>
      </c>
      <c r="J47" s="6" t="s">
        <v>19</v>
      </c>
      <c r="K47" s="6" t="s">
        <v>263</v>
      </c>
    </row>
    <row r="48" customFormat="false" ht="23.85" hidden="false" customHeight="false" outlineLevel="0" collapsed="false">
      <c r="A48" s="7" t="n">
        <v>44</v>
      </c>
      <c r="B48" s="7" t="n">
        <v>1</v>
      </c>
      <c r="C48" s="8" t="s">
        <v>264</v>
      </c>
      <c r="D48" s="8" t="s">
        <v>265</v>
      </c>
      <c r="E48" s="8" t="s">
        <v>266</v>
      </c>
      <c r="F48" s="8" t="s">
        <v>267</v>
      </c>
      <c r="G48" s="8" t="s">
        <v>268</v>
      </c>
      <c r="H48" s="8" t="s">
        <v>269</v>
      </c>
      <c r="I48" s="8" t="s">
        <v>270</v>
      </c>
      <c r="J48" s="8" t="s">
        <v>19</v>
      </c>
      <c r="K48" s="8" t="s">
        <v>271</v>
      </c>
    </row>
    <row r="49" customFormat="false" ht="35.05" hidden="false" customHeight="false" outlineLevel="0" collapsed="false">
      <c r="A49" s="5" t="n">
        <v>45</v>
      </c>
      <c r="B49" s="5" t="n">
        <v>1</v>
      </c>
      <c r="C49" s="6" t="s">
        <v>272</v>
      </c>
      <c r="D49" s="6" t="s">
        <v>273</v>
      </c>
      <c r="E49" s="6" t="s">
        <v>273</v>
      </c>
      <c r="F49" s="6" t="s">
        <v>267</v>
      </c>
      <c r="G49" s="6" t="s">
        <v>274</v>
      </c>
      <c r="H49" s="6" t="s">
        <v>275</v>
      </c>
      <c r="I49" s="6" t="s">
        <v>276</v>
      </c>
      <c r="J49" s="6" t="s">
        <v>19</v>
      </c>
      <c r="K49" s="6" t="s">
        <v>277</v>
      </c>
    </row>
    <row r="50" customFormat="false" ht="23.85" hidden="false" customHeight="false" outlineLevel="0" collapsed="false">
      <c r="A50" s="7" t="n">
        <v>46</v>
      </c>
      <c r="B50" s="7" t="n">
        <v>1</v>
      </c>
      <c r="C50" s="8" t="s">
        <v>278</v>
      </c>
      <c r="D50" s="8" t="s">
        <v>279</v>
      </c>
      <c r="E50" s="8" t="s">
        <v>280</v>
      </c>
      <c r="F50" s="8" t="s">
        <v>267</v>
      </c>
      <c r="G50" s="8" t="s">
        <v>281</v>
      </c>
      <c r="H50" s="8" t="s">
        <v>282</v>
      </c>
      <c r="I50" s="8" t="s">
        <v>283</v>
      </c>
      <c r="J50" s="8" t="s">
        <v>19</v>
      </c>
      <c r="K50" s="8" t="s">
        <v>284</v>
      </c>
    </row>
    <row r="51" customFormat="false" ht="46.25" hidden="false" customHeight="false" outlineLevel="0" collapsed="false">
      <c r="A51" s="5" t="n">
        <v>47</v>
      </c>
      <c r="B51" s="5" t="n">
        <v>1</v>
      </c>
      <c r="C51" s="6" t="s">
        <v>285</v>
      </c>
      <c r="D51" s="6" t="s">
        <v>286</v>
      </c>
      <c r="E51" s="6" t="s">
        <v>287</v>
      </c>
      <c r="F51" s="6" t="s">
        <v>267</v>
      </c>
      <c r="G51" s="6" t="s">
        <v>288</v>
      </c>
      <c r="H51" s="6" t="s">
        <v>289</v>
      </c>
      <c r="I51" s="6" t="s">
        <v>290</v>
      </c>
      <c r="J51" s="6" t="s">
        <v>19</v>
      </c>
      <c r="K51" s="6" t="s">
        <v>291</v>
      </c>
    </row>
    <row r="52" customFormat="false" ht="15" hidden="false" customHeight="false" outlineLevel="0" collapsed="false">
      <c r="A52" s="7" t="n">
        <v>48</v>
      </c>
      <c r="B52" s="7" t="n">
        <v>1</v>
      </c>
      <c r="C52" s="8" t="s">
        <v>292</v>
      </c>
      <c r="D52" s="8" t="s">
        <v>293</v>
      </c>
      <c r="E52" s="8" t="s">
        <v>293</v>
      </c>
      <c r="F52" s="8" t="s">
        <v>267</v>
      </c>
      <c r="G52" s="8" t="s">
        <v>294</v>
      </c>
      <c r="H52" s="8" t="s">
        <v>295</v>
      </c>
      <c r="I52" s="8" t="s">
        <v>296</v>
      </c>
      <c r="J52" s="8" t="s">
        <v>19</v>
      </c>
      <c r="K52" s="8" t="s">
        <v>297</v>
      </c>
    </row>
    <row r="53" customFormat="false" ht="15" hidden="false" customHeight="false" outlineLevel="0" collapsed="false">
      <c r="A53" s="5" t="n">
        <v>49</v>
      </c>
      <c r="B53" s="5" t="n">
        <v>1</v>
      </c>
      <c r="C53" s="6" t="s">
        <v>298</v>
      </c>
      <c r="D53" s="6" t="s">
        <v>299</v>
      </c>
      <c r="E53" s="6" t="s">
        <v>299</v>
      </c>
      <c r="F53" s="6" t="s">
        <v>267</v>
      </c>
      <c r="G53" s="6" t="s">
        <v>300</v>
      </c>
      <c r="H53" s="6" t="s">
        <v>301</v>
      </c>
      <c r="I53" s="6" t="s">
        <v>302</v>
      </c>
      <c r="J53" s="6" t="s">
        <v>19</v>
      </c>
      <c r="K53" s="6" t="s">
        <v>303</v>
      </c>
    </row>
    <row r="54" customFormat="false" ht="23.85" hidden="false" customHeight="false" outlineLevel="0" collapsed="false">
      <c r="A54" s="7" t="n">
        <v>50</v>
      </c>
      <c r="B54" s="7" t="n">
        <v>1</v>
      </c>
      <c r="C54" s="8" t="s">
        <v>304</v>
      </c>
      <c r="D54" s="8" t="s">
        <v>305</v>
      </c>
      <c r="E54" s="8" t="s">
        <v>305</v>
      </c>
      <c r="F54" s="8" t="s">
        <v>267</v>
      </c>
      <c r="G54" s="8" t="s">
        <v>306</v>
      </c>
      <c r="H54" s="8" t="s">
        <v>307</v>
      </c>
      <c r="I54" s="8" t="s">
        <v>308</v>
      </c>
      <c r="J54" s="8" t="s">
        <v>19</v>
      </c>
      <c r="K54" s="8" t="s">
        <v>309</v>
      </c>
    </row>
    <row r="55" customFormat="false" ht="23.85" hidden="false" customHeight="false" outlineLevel="0" collapsed="false">
      <c r="A55" s="5" t="n">
        <v>51</v>
      </c>
      <c r="B55" s="5" t="n">
        <v>1</v>
      </c>
      <c r="C55" s="6" t="s">
        <v>310</v>
      </c>
      <c r="D55" s="6" t="s">
        <v>311</v>
      </c>
      <c r="E55" s="6" t="s">
        <v>312</v>
      </c>
      <c r="F55" s="6" t="s">
        <v>313</v>
      </c>
      <c r="G55" s="6" t="s">
        <v>314</v>
      </c>
      <c r="H55" s="6" t="s">
        <v>315</v>
      </c>
      <c r="I55" s="6" t="s">
        <v>316</v>
      </c>
      <c r="J55" s="6" t="s">
        <v>28</v>
      </c>
      <c r="K55" s="6" t="s">
        <v>317</v>
      </c>
    </row>
    <row r="56" customFormat="false" ht="23.85" hidden="false" customHeight="false" outlineLevel="0" collapsed="false">
      <c r="A56" s="7" t="n">
        <v>52</v>
      </c>
      <c r="B56" s="7" t="n">
        <v>1</v>
      </c>
      <c r="C56" s="8" t="s">
        <v>318</v>
      </c>
      <c r="D56" s="8" t="s">
        <v>319</v>
      </c>
      <c r="E56" s="8" t="s">
        <v>319</v>
      </c>
      <c r="F56" s="8" t="s">
        <v>267</v>
      </c>
      <c r="G56" s="8" t="s">
        <v>320</v>
      </c>
      <c r="H56" s="8" t="s">
        <v>295</v>
      </c>
      <c r="I56" s="8" t="s">
        <v>321</v>
      </c>
      <c r="J56" s="8" t="s">
        <v>28</v>
      </c>
      <c r="K56" s="8" t="s">
        <v>322</v>
      </c>
    </row>
    <row r="57" customFormat="false" ht="23.85" hidden="false" customHeight="false" outlineLevel="0" collapsed="false">
      <c r="A57" s="5" t="n">
        <v>53</v>
      </c>
      <c r="B57" s="5" t="n">
        <v>1</v>
      </c>
      <c r="C57" s="6" t="s">
        <v>323</v>
      </c>
      <c r="D57" s="6" t="s">
        <v>324</v>
      </c>
      <c r="E57" s="6" t="s">
        <v>324</v>
      </c>
      <c r="F57" s="6" t="s">
        <v>325</v>
      </c>
      <c r="G57" s="6" t="s">
        <v>326</v>
      </c>
      <c r="H57" s="6" t="s">
        <v>327</v>
      </c>
      <c r="I57" s="6" t="s">
        <v>328</v>
      </c>
      <c r="J57" s="6" t="s">
        <v>19</v>
      </c>
      <c r="K57" s="6" t="s">
        <v>329</v>
      </c>
    </row>
    <row r="58" customFormat="false" ht="35.05" hidden="false" customHeight="false" outlineLevel="0" collapsed="false">
      <c r="A58" s="7" t="n">
        <v>54</v>
      </c>
      <c r="B58" s="7" t="n">
        <v>1</v>
      </c>
      <c r="C58" s="8" t="s">
        <v>330</v>
      </c>
      <c r="D58" s="8" t="s">
        <v>331</v>
      </c>
      <c r="E58" s="8" t="s">
        <v>331</v>
      </c>
      <c r="F58" s="8" t="s">
        <v>325</v>
      </c>
      <c r="G58" s="8" t="s">
        <v>332</v>
      </c>
      <c r="H58" s="8" t="s">
        <v>333</v>
      </c>
      <c r="I58" s="8" t="s">
        <v>334</v>
      </c>
      <c r="J58" s="8" t="s">
        <v>28</v>
      </c>
      <c r="K58" s="8" t="s">
        <v>335</v>
      </c>
    </row>
    <row r="59" customFormat="false" ht="57.45" hidden="false" customHeight="false" outlineLevel="0" collapsed="false">
      <c r="A59" s="5" t="n">
        <v>55</v>
      </c>
      <c r="B59" s="5" t="n">
        <v>1</v>
      </c>
      <c r="C59" s="6" t="s">
        <v>336</v>
      </c>
      <c r="D59" s="6" t="s">
        <v>337</v>
      </c>
      <c r="E59" s="6" t="s">
        <v>338</v>
      </c>
      <c r="F59" s="6" t="s">
        <v>339</v>
      </c>
      <c r="G59" s="6" t="s">
        <v>340</v>
      </c>
      <c r="H59" s="6" t="s">
        <v>341</v>
      </c>
      <c r="I59" s="6" t="s">
        <v>342</v>
      </c>
      <c r="J59" s="6" t="s">
        <v>19</v>
      </c>
      <c r="K59" s="6" t="s">
        <v>343</v>
      </c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3.85" hidden="false" customHeight="false" outlineLevel="0" collapsed="false">
      <c r="A61" s="9" t="s">
        <v>344</v>
      </c>
      <c r="B61" s="10" t="n">
        <f aca="false">SUM(B5:B59)</f>
        <v>94</v>
      </c>
      <c r="C61" s="9" t="s">
        <v>345</v>
      </c>
      <c r="D61" s="9" t="s">
        <v>346</v>
      </c>
      <c r="E61" s="11" t="n">
        <f aca="false">COUNTA(E5:E59)</f>
        <v>55</v>
      </c>
      <c r="F61" s="9" t="s">
        <v>347</v>
      </c>
      <c r="G61" s="9" t="s">
        <v>346</v>
      </c>
      <c r="H61" s="9" t="s">
        <v>346</v>
      </c>
      <c r="I61" s="9" t="s">
        <v>346</v>
      </c>
      <c r="J61" s="9" t="s">
        <v>346</v>
      </c>
      <c r="K61" s="9" t="s">
        <v>348</v>
      </c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false" outlineLevel="0" collapsed="false">
      <c r="A63" s="12" t="s">
        <v>349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customFormat="false" ht="23.85" hidden="false" customHeight="false" outlineLevel="0" collapsed="false">
      <c r="A64" s="13" t="s">
        <v>2</v>
      </c>
      <c r="B64" s="13" t="s">
        <v>3</v>
      </c>
      <c r="C64" s="13" t="s">
        <v>4</v>
      </c>
      <c r="D64" s="13" t="s">
        <v>5</v>
      </c>
      <c r="E64" s="13" t="s">
        <v>6</v>
      </c>
      <c r="F64" s="13" t="s">
        <v>7</v>
      </c>
      <c r="G64" s="13" t="s">
        <v>8</v>
      </c>
      <c r="H64" s="13" t="s">
        <v>9</v>
      </c>
      <c r="I64" s="13" t="s">
        <v>10</v>
      </c>
      <c r="J64" s="13" t="s">
        <v>11</v>
      </c>
      <c r="K64" s="13" t="s">
        <v>12</v>
      </c>
    </row>
    <row r="65" customFormat="false" ht="35.05" hidden="false" customHeight="false" outlineLevel="0" collapsed="false">
      <c r="A65" s="5" t="s">
        <v>350</v>
      </c>
      <c r="B65" s="5" t="n">
        <v>8</v>
      </c>
      <c r="C65" s="6" t="s">
        <v>351</v>
      </c>
      <c r="D65" s="6" t="s">
        <v>352</v>
      </c>
      <c r="E65" s="6" t="s">
        <v>353</v>
      </c>
      <c r="F65" s="6" t="s">
        <v>354</v>
      </c>
      <c r="G65" s="6" t="s">
        <v>354</v>
      </c>
      <c r="H65" s="6" t="s">
        <v>355</v>
      </c>
      <c r="I65" s="6" t="s">
        <v>356</v>
      </c>
      <c r="J65" s="6" t="s">
        <v>28</v>
      </c>
      <c r="K65" s="6" t="s">
        <v>357</v>
      </c>
    </row>
    <row r="66" customFormat="false" ht="35.05" hidden="false" customHeight="false" outlineLevel="0" collapsed="false">
      <c r="A66" s="5" t="s">
        <v>358</v>
      </c>
      <c r="B66" s="5" t="n">
        <v>2</v>
      </c>
      <c r="C66" s="6" t="s">
        <v>359</v>
      </c>
      <c r="D66" s="6" t="s">
        <v>360</v>
      </c>
      <c r="E66" s="6" t="s">
        <v>353</v>
      </c>
      <c r="F66" s="6" t="s">
        <v>354</v>
      </c>
      <c r="G66" s="6" t="s">
        <v>354</v>
      </c>
      <c r="H66" s="6" t="s">
        <v>361</v>
      </c>
      <c r="I66" s="6" t="s">
        <v>362</v>
      </c>
      <c r="J66" s="6" t="s">
        <v>19</v>
      </c>
      <c r="K66" s="6" t="s">
        <v>363</v>
      </c>
    </row>
    <row r="67" customFormat="false" ht="35.05" hidden="false" customHeight="false" outlineLevel="0" collapsed="false">
      <c r="A67" s="5" t="s">
        <v>364</v>
      </c>
      <c r="B67" s="5" t="n">
        <v>4</v>
      </c>
      <c r="C67" s="6" t="s">
        <v>365</v>
      </c>
      <c r="D67" s="6" t="s">
        <v>366</v>
      </c>
      <c r="E67" s="6" t="s">
        <v>353</v>
      </c>
      <c r="F67" s="6" t="s">
        <v>354</v>
      </c>
      <c r="G67" s="6" t="s">
        <v>354</v>
      </c>
      <c r="H67" s="6" t="s">
        <v>367</v>
      </c>
      <c r="I67" s="6" t="s">
        <v>368</v>
      </c>
      <c r="J67" s="6" t="s">
        <v>369</v>
      </c>
      <c r="K67" s="6" t="s">
        <v>370</v>
      </c>
    </row>
    <row r="68" customFormat="false" ht="23.85" hidden="false" customHeight="false" outlineLevel="0" collapsed="false">
      <c r="A68" s="5" t="s">
        <v>371</v>
      </c>
      <c r="B68" s="5" t="n">
        <v>1</v>
      </c>
      <c r="C68" s="6" t="s">
        <v>372</v>
      </c>
      <c r="D68" s="6" t="s">
        <v>373</v>
      </c>
      <c r="E68" s="6" t="s">
        <v>374</v>
      </c>
      <c r="F68" s="6" t="s">
        <v>375</v>
      </c>
      <c r="G68" s="6" t="s">
        <v>346</v>
      </c>
      <c r="H68" s="6" t="s">
        <v>26</v>
      </c>
      <c r="I68" s="6" t="s">
        <v>376</v>
      </c>
      <c r="J68" s="6" t="s">
        <v>19</v>
      </c>
      <c r="K68" s="6" t="s">
        <v>377</v>
      </c>
    </row>
  </sheetData>
  <autoFilter ref="A4:K59"/>
  <mergeCells count="3">
    <mergeCell ref="A1:K1"/>
    <mergeCell ref="A2:K2"/>
    <mergeCell ref="A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16.15" hidden="false" customHeight="true" outlineLevel="0" collapsed="false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9" t="s">
        <v>380</v>
      </c>
      <c r="C3" s="14" t="n">
        <v>0.92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5.05" hidden="false" customHeight="false" outlineLevel="0" collapsed="false">
      <c r="A5" s="4" t="s">
        <v>2</v>
      </c>
      <c r="B5" s="4" t="s">
        <v>4</v>
      </c>
      <c r="C5" s="4" t="s">
        <v>381</v>
      </c>
      <c r="D5" s="4" t="s">
        <v>6</v>
      </c>
      <c r="E5" s="4" t="s">
        <v>382</v>
      </c>
      <c r="F5" s="4" t="s">
        <v>383</v>
      </c>
      <c r="G5" s="4" t="s">
        <v>384</v>
      </c>
      <c r="H5" s="4" t="s">
        <v>385</v>
      </c>
      <c r="I5" s="4" t="s">
        <v>386</v>
      </c>
      <c r="J5" s="4" t="s">
        <v>387</v>
      </c>
      <c r="K5" s="4" t="s">
        <v>12</v>
      </c>
    </row>
    <row r="6" customFormat="false" ht="15" hidden="false" customHeight="false" outlineLevel="0" collapsed="false">
      <c r="A6" s="7" t="n">
        <v>1</v>
      </c>
      <c r="B6" s="8" t="s">
        <v>13</v>
      </c>
      <c r="C6" s="7" t="n">
        <v>1</v>
      </c>
      <c r="D6" s="8" t="s">
        <v>14</v>
      </c>
      <c r="E6" s="8" t="s">
        <v>388</v>
      </c>
      <c r="F6" s="15" t="n">
        <v>0.69</v>
      </c>
      <c r="G6" s="16" t="n">
        <f aca="false">C6*F6</f>
        <v>0.69</v>
      </c>
      <c r="H6" s="15" t="n">
        <v>0.65</v>
      </c>
      <c r="I6" s="16" t="n">
        <f aca="false">C6*H6</f>
        <v>0.65</v>
      </c>
      <c r="J6" s="8" t="s">
        <v>389</v>
      </c>
      <c r="K6" s="8" t="s">
        <v>390</v>
      </c>
    </row>
    <row r="7" customFormat="false" ht="35.05" hidden="false" customHeight="false" outlineLevel="0" collapsed="false">
      <c r="A7" s="5" t="n">
        <v>2</v>
      </c>
      <c r="B7" s="6" t="s">
        <v>21</v>
      </c>
      <c r="C7" s="5" t="n">
        <v>19</v>
      </c>
      <c r="D7" s="6" t="s">
        <v>23</v>
      </c>
      <c r="E7" s="6" t="s">
        <v>391</v>
      </c>
      <c r="F7" s="17" t="n">
        <v>0.0049</v>
      </c>
      <c r="G7" s="18" t="n">
        <f aca="false">C7*F7</f>
        <v>0.0931</v>
      </c>
      <c r="H7" s="17" t="n">
        <v>0.0049</v>
      </c>
      <c r="I7" s="18" t="n">
        <f aca="false">C7*H7</f>
        <v>0.0931</v>
      </c>
      <c r="J7" s="6" t="s">
        <v>389</v>
      </c>
      <c r="K7" s="6" t="s">
        <v>392</v>
      </c>
    </row>
    <row r="8" customFormat="false" ht="15" hidden="false" customHeight="false" outlineLevel="0" collapsed="false">
      <c r="A8" s="7" t="n">
        <v>3</v>
      </c>
      <c r="B8" s="8" t="s">
        <v>30</v>
      </c>
      <c r="C8" s="7" t="n">
        <v>2</v>
      </c>
      <c r="D8" s="8" t="s">
        <v>32</v>
      </c>
      <c r="E8" s="8" t="s">
        <v>393</v>
      </c>
      <c r="F8" s="15" t="n">
        <v>0.03</v>
      </c>
      <c r="G8" s="16" t="n">
        <f aca="false">C8*F8</f>
        <v>0.06</v>
      </c>
      <c r="H8" s="15" t="n">
        <v>0.025</v>
      </c>
      <c r="I8" s="16" t="n">
        <f aca="false">C8*H8</f>
        <v>0.05</v>
      </c>
      <c r="J8" s="8" t="s">
        <v>394</v>
      </c>
      <c r="K8" s="8" t="s">
        <v>346</v>
      </c>
    </row>
    <row r="9" customFormat="false" ht="15" hidden="false" customHeight="false" outlineLevel="0" collapsed="false">
      <c r="A9" s="5" t="n">
        <v>4</v>
      </c>
      <c r="B9" s="6" t="s">
        <v>38</v>
      </c>
      <c r="C9" s="5" t="n">
        <v>1</v>
      </c>
      <c r="D9" s="6" t="s">
        <v>40</v>
      </c>
      <c r="E9" s="6" t="s">
        <v>395</v>
      </c>
      <c r="F9" s="17" t="n">
        <v>0.1319</v>
      </c>
      <c r="G9" s="18" t="n">
        <f aca="false">C9*F9</f>
        <v>0.1319</v>
      </c>
      <c r="H9" s="17" t="n">
        <v>0.0968</v>
      </c>
      <c r="I9" s="18" t="n">
        <f aca="false">C9*H9</f>
        <v>0.0968</v>
      </c>
      <c r="J9" s="6" t="s">
        <v>389</v>
      </c>
      <c r="K9" s="6" t="s">
        <v>346</v>
      </c>
    </row>
    <row r="10" customFormat="false" ht="15" hidden="false" customHeight="false" outlineLevel="0" collapsed="false">
      <c r="A10" s="7" t="n">
        <v>5</v>
      </c>
      <c r="B10" s="8" t="s">
        <v>396</v>
      </c>
      <c r="C10" s="7" t="n">
        <v>2</v>
      </c>
      <c r="D10" s="8" t="s">
        <v>46</v>
      </c>
      <c r="E10" s="8" t="s">
        <v>397</v>
      </c>
      <c r="F10" s="15" t="n">
        <v>0.0205</v>
      </c>
      <c r="G10" s="16" t="n">
        <f aca="false">C10*F10</f>
        <v>0.041</v>
      </c>
      <c r="H10" s="15" t="n">
        <v>0.0159</v>
      </c>
      <c r="I10" s="16" t="n">
        <f aca="false">C10*H10</f>
        <v>0.0318</v>
      </c>
      <c r="J10" s="8" t="s">
        <v>389</v>
      </c>
      <c r="K10" s="8" t="s">
        <v>346</v>
      </c>
    </row>
    <row r="11" customFormat="false" ht="15" hidden="false" customHeight="false" outlineLevel="0" collapsed="false">
      <c r="A11" s="5" t="n">
        <v>6</v>
      </c>
      <c r="B11" s="6" t="s">
        <v>398</v>
      </c>
      <c r="C11" s="5" t="n">
        <v>3</v>
      </c>
      <c r="D11" s="6" t="s">
        <v>53</v>
      </c>
      <c r="E11" s="6" t="s">
        <v>399</v>
      </c>
      <c r="F11" s="17" t="n">
        <v>0.0068</v>
      </c>
      <c r="G11" s="18" t="n">
        <f aca="false">C11*F11</f>
        <v>0.0204</v>
      </c>
      <c r="H11" s="17" t="n">
        <v>0.0068</v>
      </c>
      <c r="I11" s="18" t="n">
        <f aca="false">C11*H11</f>
        <v>0.0204</v>
      </c>
      <c r="J11" s="6" t="s">
        <v>389</v>
      </c>
      <c r="K11" s="6" t="s">
        <v>392</v>
      </c>
    </row>
    <row r="12" customFormat="false" ht="15" hidden="false" customHeight="false" outlineLevel="0" collapsed="false">
      <c r="A12" s="7" t="n">
        <v>7</v>
      </c>
      <c r="B12" s="8" t="s">
        <v>58</v>
      </c>
      <c r="C12" s="7" t="n">
        <v>1</v>
      </c>
      <c r="D12" s="8" t="s">
        <v>60</v>
      </c>
      <c r="E12" s="8" t="s">
        <v>400</v>
      </c>
      <c r="F12" s="15" t="n">
        <v>0.0054</v>
      </c>
      <c r="G12" s="16" t="n">
        <f aca="false">C12*F12</f>
        <v>0.0054</v>
      </c>
      <c r="H12" s="15" t="n">
        <v>0.0054</v>
      </c>
      <c r="I12" s="16" t="n">
        <f aca="false">C12*H12</f>
        <v>0.0054</v>
      </c>
      <c r="J12" s="8" t="s">
        <v>389</v>
      </c>
      <c r="K12" s="8" t="s">
        <v>346</v>
      </c>
    </row>
    <row r="13" customFormat="false" ht="15" hidden="false" customHeight="false" outlineLevel="0" collapsed="false">
      <c r="A13" s="5" t="n">
        <v>8</v>
      </c>
      <c r="B13" s="6" t="s">
        <v>64</v>
      </c>
      <c r="C13" s="5" t="n">
        <v>1</v>
      </c>
      <c r="D13" s="6" t="s">
        <v>66</v>
      </c>
      <c r="E13" s="6" t="s">
        <v>401</v>
      </c>
      <c r="F13" s="17" t="n">
        <v>0.0287</v>
      </c>
      <c r="G13" s="18" t="n">
        <f aca="false">C13*F13</f>
        <v>0.0287</v>
      </c>
      <c r="H13" s="17" t="n">
        <v>0.0287</v>
      </c>
      <c r="I13" s="18" t="n">
        <f aca="false">C13*H13</f>
        <v>0.0287</v>
      </c>
      <c r="J13" s="6" t="s">
        <v>389</v>
      </c>
      <c r="K13" s="6" t="s">
        <v>346</v>
      </c>
    </row>
    <row r="14" customFormat="false" ht="15" hidden="false" customHeight="false" outlineLevel="0" collapsed="false">
      <c r="A14" s="7" t="n">
        <v>9</v>
      </c>
      <c r="B14" s="8" t="s">
        <v>71</v>
      </c>
      <c r="C14" s="7" t="n">
        <v>1</v>
      </c>
      <c r="D14" s="8" t="s">
        <v>73</v>
      </c>
      <c r="E14" s="8" t="s">
        <v>402</v>
      </c>
      <c r="F14" s="15" t="n">
        <v>0.0032</v>
      </c>
      <c r="G14" s="16" t="n">
        <f aca="false">C14*F14</f>
        <v>0.0032</v>
      </c>
      <c r="H14" s="15" t="n">
        <v>0.0032</v>
      </c>
      <c r="I14" s="16" t="n">
        <f aca="false">C14*H14</f>
        <v>0.0032</v>
      </c>
      <c r="J14" s="8" t="s">
        <v>389</v>
      </c>
      <c r="K14" s="8" t="s">
        <v>346</v>
      </c>
    </row>
    <row r="15" customFormat="false" ht="15" hidden="false" customHeight="false" outlineLevel="0" collapsed="false">
      <c r="A15" s="5" t="n">
        <v>10</v>
      </c>
      <c r="B15" s="6" t="s">
        <v>77</v>
      </c>
      <c r="C15" s="5" t="n">
        <v>1</v>
      </c>
      <c r="D15" s="6" t="s">
        <v>78</v>
      </c>
      <c r="E15" s="6" t="s">
        <v>403</v>
      </c>
      <c r="F15" s="17" t="n">
        <v>0.0168</v>
      </c>
      <c r="G15" s="18" t="n">
        <f aca="false">C15*F15</f>
        <v>0.0168</v>
      </c>
      <c r="H15" s="17" t="n">
        <v>0.0168</v>
      </c>
      <c r="I15" s="18" t="n">
        <f aca="false">C15*H15</f>
        <v>0.0168</v>
      </c>
      <c r="J15" s="6" t="s">
        <v>389</v>
      </c>
      <c r="K15" s="6" t="s">
        <v>404</v>
      </c>
    </row>
    <row r="16" customFormat="false" ht="15" hidden="false" customHeight="false" outlineLevel="0" collapsed="false">
      <c r="A16" s="7" t="n">
        <v>11</v>
      </c>
      <c r="B16" s="8" t="s">
        <v>82</v>
      </c>
      <c r="C16" s="7" t="n">
        <v>1</v>
      </c>
      <c r="D16" s="8" t="s">
        <v>84</v>
      </c>
      <c r="E16" s="8" t="s">
        <v>405</v>
      </c>
      <c r="F16" s="15" t="n">
        <v>0.004</v>
      </c>
      <c r="G16" s="16" t="n">
        <f aca="false">C16*F16</f>
        <v>0.004</v>
      </c>
      <c r="H16" s="15" t="n">
        <v>0.004</v>
      </c>
      <c r="I16" s="16" t="n">
        <f aca="false">C16*H16</f>
        <v>0.004</v>
      </c>
      <c r="J16" s="8" t="s">
        <v>394</v>
      </c>
      <c r="K16" s="8" t="s">
        <v>346</v>
      </c>
    </row>
    <row r="17" customFormat="false" ht="15" hidden="false" customHeight="false" outlineLevel="0" collapsed="false">
      <c r="A17" s="5" t="n">
        <v>12</v>
      </c>
      <c r="B17" s="6" t="s">
        <v>88</v>
      </c>
      <c r="C17" s="5" t="n">
        <v>1</v>
      </c>
      <c r="D17" s="6" t="s">
        <v>90</v>
      </c>
      <c r="E17" s="6" t="s">
        <v>406</v>
      </c>
      <c r="F17" s="17" t="n">
        <v>0.1953</v>
      </c>
      <c r="G17" s="18" t="n">
        <f aca="false">C17*F17</f>
        <v>0.1953</v>
      </c>
      <c r="H17" s="17" t="n">
        <v>0.1953</v>
      </c>
      <c r="I17" s="18" t="n">
        <f aca="false">C17*H17</f>
        <v>0.1953</v>
      </c>
      <c r="J17" s="6" t="s">
        <v>389</v>
      </c>
      <c r="K17" s="6" t="s">
        <v>407</v>
      </c>
    </row>
    <row r="18" customFormat="false" ht="15" hidden="false" customHeight="false" outlineLevel="0" collapsed="false">
      <c r="A18" s="7" t="n">
        <v>13</v>
      </c>
      <c r="B18" s="8" t="s">
        <v>95</v>
      </c>
      <c r="C18" s="7" t="n">
        <v>1</v>
      </c>
      <c r="D18" s="8" t="s">
        <v>97</v>
      </c>
      <c r="E18" s="8" t="s">
        <v>408</v>
      </c>
      <c r="F18" s="15" t="n">
        <v>0.002</v>
      </c>
      <c r="G18" s="16" t="n">
        <f aca="false">C18*F18</f>
        <v>0.002</v>
      </c>
      <c r="H18" s="15" t="n">
        <v>0.002</v>
      </c>
      <c r="I18" s="16" t="n">
        <f aca="false">C18*H18</f>
        <v>0.002</v>
      </c>
      <c r="J18" s="8" t="s">
        <v>394</v>
      </c>
      <c r="K18" s="8" t="s">
        <v>409</v>
      </c>
    </row>
    <row r="19" customFormat="false" ht="23.85" hidden="false" customHeight="false" outlineLevel="0" collapsed="false">
      <c r="A19" s="5" t="n">
        <v>14</v>
      </c>
      <c r="B19" s="6" t="s">
        <v>101</v>
      </c>
      <c r="C19" s="5" t="n">
        <v>4</v>
      </c>
      <c r="D19" s="6" t="s">
        <v>102</v>
      </c>
      <c r="E19" s="6" t="s">
        <v>410</v>
      </c>
      <c r="F19" s="17" t="n">
        <v>0.0657</v>
      </c>
      <c r="G19" s="18" t="n">
        <f aca="false">C19*F19</f>
        <v>0.2628</v>
      </c>
      <c r="H19" s="17" t="n">
        <v>0.055</v>
      </c>
      <c r="I19" s="18" t="n">
        <f aca="false">C19*H19</f>
        <v>0.22</v>
      </c>
      <c r="J19" s="6" t="s">
        <v>389</v>
      </c>
      <c r="K19" s="6" t="s">
        <v>411</v>
      </c>
    </row>
    <row r="20" customFormat="false" ht="15" hidden="false" customHeight="false" outlineLevel="0" collapsed="false">
      <c r="A20" s="7" t="n">
        <v>15</v>
      </c>
      <c r="B20" s="8" t="s">
        <v>108</v>
      </c>
      <c r="C20" s="7" t="n">
        <v>1</v>
      </c>
      <c r="D20" s="8" t="s">
        <v>110</v>
      </c>
      <c r="E20" s="8" t="s">
        <v>412</v>
      </c>
      <c r="F20" s="15" t="n">
        <v>0.1082</v>
      </c>
      <c r="G20" s="16" t="n">
        <f aca="false">C20*F20</f>
        <v>0.1082</v>
      </c>
      <c r="H20" s="15" t="n">
        <v>0.0851</v>
      </c>
      <c r="I20" s="16" t="n">
        <f aca="false">C20*H20</f>
        <v>0.0851</v>
      </c>
      <c r="J20" s="8" t="s">
        <v>389</v>
      </c>
      <c r="K20" s="8" t="s">
        <v>346</v>
      </c>
    </row>
    <row r="21" customFormat="false" ht="15" hidden="false" customHeight="false" outlineLevel="0" collapsed="false">
      <c r="A21" s="5" t="n">
        <v>16</v>
      </c>
      <c r="B21" s="6" t="s">
        <v>116</v>
      </c>
      <c r="C21" s="5" t="n">
        <v>1</v>
      </c>
      <c r="D21" s="6" t="s">
        <v>118</v>
      </c>
      <c r="E21" s="6" t="s">
        <v>413</v>
      </c>
      <c r="F21" s="17" t="n">
        <v>0.1729</v>
      </c>
      <c r="G21" s="18" t="n">
        <f aca="false">C21*F21</f>
        <v>0.1729</v>
      </c>
      <c r="H21" s="17" t="n">
        <v>0.1365</v>
      </c>
      <c r="I21" s="18" t="n">
        <f aca="false">C21*H21</f>
        <v>0.1365</v>
      </c>
      <c r="J21" s="6" t="s">
        <v>389</v>
      </c>
      <c r="K21" s="6" t="s">
        <v>414</v>
      </c>
    </row>
    <row r="22" customFormat="false" ht="15" hidden="false" customHeight="false" outlineLevel="0" collapsed="false">
      <c r="A22" s="7" t="n">
        <v>17</v>
      </c>
      <c r="B22" s="8" t="s">
        <v>415</v>
      </c>
      <c r="C22" s="7" t="n">
        <v>2</v>
      </c>
      <c r="D22" s="8" t="s">
        <v>126</v>
      </c>
      <c r="E22" s="8" t="s">
        <v>416</v>
      </c>
      <c r="F22" s="15" t="n">
        <v>0.35</v>
      </c>
      <c r="G22" s="16" t="n">
        <f aca="false">C22*F22</f>
        <v>0.7</v>
      </c>
      <c r="H22" s="15" t="n">
        <v>0.25</v>
      </c>
      <c r="I22" s="16" t="n">
        <f aca="false">C22*H22</f>
        <v>0.5</v>
      </c>
      <c r="J22" s="8" t="s">
        <v>394</v>
      </c>
      <c r="K22" s="8" t="s">
        <v>417</v>
      </c>
    </row>
    <row r="23" customFormat="false" ht="15" hidden="false" customHeight="false" outlineLevel="0" collapsed="false">
      <c r="A23" s="5" t="n">
        <v>18</v>
      </c>
      <c r="B23" s="6" t="s">
        <v>418</v>
      </c>
      <c r="C23" s="5" t="n">
        <v>3</v>
      </c>
      <c r="D23" s="6" t="s">
        <v>134</v>
      </c>
      <c r="E23" s="6" t="s">
        <v>419</v>
      </c>
      <c r="F23" s="17" t="n">
        <v>0.25</v>
      </c>
      <c r="G23" s="18" t="n">
        <f aca="false">C23*F23</f>
        <v>0.75</v>
      </c>
      <c r="H23" s="17" t="n">
        <v>0.18</v>
      </c>
      <c r="I23" s="18" t="n">
        <f aca="false">C23*H23</f>
        <v>0.54</v>
      </c>
      <c r="J23" s="6" t="s">
        <v>394</v>
      </c>
      <c r="K23" s="6" t="s">
        <v>420</v>
      </c>
    </row>
    <row r="24" customFormat="false" ht="15" hidden="false" customHeight="false" outlineLevel="0" collapsed="false">
      <c r="A24" s="7" t="n">
        <v>19</v>
      </c>
      <c r="B24" s="8" t="s">
        <v>145</v>
      </c>
      <c r="C24" s="7" t="n">
        <v>1</v>
      </c>
      <c r="D24" s="8" t="s">
        <v>147</v>
      </c>
      <c r="E24" s="8" t="s">
        <v>421</v>
      </c>
      <c r="F24" s="15" t="n">
        <v>0.0467</v>
      </c>
      <c r="G24" s="16" t="n">
        <f aca="false">C24*F24</f>
        <v>0.0467</v>
      </c>
      <c r="H24" s="15" t="n">
        <v>0.0388</v>
      </c>
      <c r="I24" s="16" t="n">
        <f aca="false">C24*H24</f>
        <v>0.0388</v>
      </c>
      <c r="J24" s="8" t="s">
        <v>389</v>
      </c>
      <c r="K24" s="8" t="s">
        <v>346</v>
      </c>
    </row>
    <row r="25" customFormat="false" ht="15" hidden="false" customHeight="false" outlineLevel="0" collapsed="false">
      <c r="A25" s="5" t="n">
        <v>20</v>
      </c>
      <c r="B25" s="6" t="s">
        <v>153</v>
      </c>
      <c r="C25" s="5" t="n">
        <v>1</v>
      </c>
      <c r="D25" s="6" t="s">
        <v>155</v>
      </c>
      <c r="E25" s="6" t="s">
        <v>422</v>
      </c>
      <c r="F25" s="17" t="n">
        <v>0.0185</v>
      </c>
      <c r="G25" s="18" t="n">
        <f aca="false">C25*F25</f>
        <v>0.0185</v>
      </c>
      <c r="H25" s="17" t="n">
        <v>0.0185</v>
      </c>
      <c r="I25" s="18" t="n">
        <f aca="false">C25*H25</f>
        <v>0.0185</v>
      </c>
      <c r="J25" s="6" t="s">
        <v>389</v>
      </c>
      <c r="K25" s="6" t="s">
        <v>423</v>
      </c>
    </row>
    <row r="26" customFormat="false" ht="15" hidden="false" customHeight="false" outlineLevel="0" collapsed="false">
      <c r="A26" s="7" t="n">
        <v>21</v>
      </c>
      <c r="B26" s="8" t="s">
        <v>160</v>
      </c>
      <c r="C26" s="7" t="n">
        <v>1</v>
      </c>
      <c r="D26" s="8" t="s">
        <v>162</v>
      </c>
      <c r="E26" s="8" t="s">
        <v>424</v>
      </c>
      <c r="F26" s="15" t="n">
        <v>0.12</v>
      </c>
      <c r="G26" s="16" t="n">
        <f aca="false">C26*F26</f>
        <v>0.12</v>
      </c>
      <c r="H26" s="15" t="n">
        <v>0.09</v>
      </c>
      <c r="I26" s="16" t="n">
        <f aca="false">C26*H26</f>
        <v>0.09</v>
      </c>
      <c r="J26" s="8" t="s">
        <v>394</v>
      </c>
      <c r="K26" s="8" t="s">
        <v>425</v>
      </c>
    </row>
    <row r="27" customFormat="false" ht="15" hidden="false" customHeight="false" outlineLevel="0" collapsed="false">
      <c r="A27" s="5" t="n">
        <v>22</v>
      </c>
      <c r="B27" s="6" t="s">
        <v>167</v>
      </c>
      <c r="C27" s="5" t="n">
        <v>1</v>
      </c>
      <c r="D27" s="6" t="s">
        <v>168</v>
      </c>
      <c r="E27" s="6" t="s">
        <v>426</v>
      </c>
      <c r="F27" s="17" t="n">
        <v>0.1028</v>
      </c>
      <c r="G27" s="18" t="n">
        <f aca="false">C27*F27</f>
        <v>0.1028</v>
      </c>
      <c r="H27" s="17" t="n">
        <v>0.0831</v>
      </c>
      <c r="I27" s="18" t="n">
        <f aca="false">C27*H27</f>
        <v>0.0831</v>
      </c>
      <c r="J27" s="6" t="s">
        <v>389</v>
      </c>
      <c r="K27" s="6" t="s">
        <v>414</v>
      </c>
    </row>
    <row r="28" customFormat="false" ht="15" hidden="false" customHeight="false" outlineLevel="0" collapsed="false">
      <c r="A28" s="7" t="n">
        <v>23</v>
      </c>
      <c r="B28" s="8" t="s">
        <v>427</v>
      </c>
      <c r="C28" s="7" t="n">
        <v>5</v>
      </c>
      <c r="D28" s="8" t="s">
        <v>176</v>
      </c>
      <c r="E28" s="8" t="s">
        <v>428</v>
      </c>
      <c r="F28" s="15" t="n">
        <v>0.002</v>
      </c>
      <c r="G28" s="16" t="n">
        <f aca="false">C28*F28</f>
        <v>0.01</v>
      </c>
      <c r="H28" s="15" t="n">
        <v>0.002</v>
      </c>
      <c r="I28" s="16" t="n">
        <f aca="false">C28*H28</f>
        <v>0.01</v>
      </c>
      <c r="J28" s="8" t="s">
        <v>394</v>
      </c>
      <c r="K28" s="8" t="s">
        <v>346</v>
      </c>
    </row>
    <row r="29" customFormat="false" ht="15" hidden="false" customHeight="false" outlineLevel="0" collapsed="false">
      <c r="A29" s="5" t="n">
        <v>24</v>
      </c>
      <c r="B29" s="6" t="s">
        <v>181</v>
      </c>
      <c r="C29" s="5" t="n">
        <v>1</v>
      </c>
      <c r="D29" s="6" t="s">
        <v>183</v>
      </c>
      <c r="E29" s="6" t="s">
        <v>429</v>
      </c>
      <c r="F29" s="17" t="n">
        <v>0.003</v>
      </c>
      <c r="G29" s="18" t="n">
        <f aca="false">C29*F29</f>
        <v>0.003</v>
      </c>
      <c r="H29" s="17" t="n">
        <v>0.002</v>
      </c>
      <c r="I29" s="18" t="n">
        <f aca="false">C29*H29</f>
        <v>0.002</v>
      </c>
      <c r="J29" s="6" t="s">
        <v>394</v>
      </c>
      <c r="K29" s="6" t="s">
        <v>346</v>
      </c>
    </row>
    <row r="30" customFormat="false" ht="15" hidden="false" customHeight="false" outlineLevel="0" collapsed="false">
      <c r="A30" s="7" t="n">
        <v>25</v>
      </c>
      <c r="B30" s="8" t="s">
        <v>191</v>
      </c>
      <c r="C30" s="7" t="n">
        <v>4</v>
      </c>
      <c r="D30" s="8" t="s">
        <v>193</v>
      </c>
      <c r="E30" s="8" t="s">
        <v>430</v>
      </c>
      <c r="F30" s="15" t="n">
        <v>0.002</v>
      </c>
      <c r="G30" s="16" t="n">
        <f aca="false">C30*F30</f>
        <v>0.008</v>
      </c>
      <c r="H30" s="15" t="n">
        <v>0.002</v>
      </c>
      <c r="I30" s="16" t="n">
        <f aca="false">C30*H30</f>
        <v>0.008</v>
      </c>
      <c r="J30" s="8" t="s">
        <v>394</v>
      </c>
      <c r="K30" s="8" t="s">
        <v>346</v>
      </c>
    </row>
    <row r="31" customFormat="false" ht="15" hidden="false" customHeight="false" outlineLevel="0" collapsed="false">
      <c r="A31" s="5" t="n">
        <v>26</v>
      </c>
      <c r="B31" s="6" t="s">
        <v>198</v>
      </c>
      <c r="C31" s="5" t="n">
        <v>2</v>
      </c>
      <c r="D31" s="6" t="s">
        <v>200</v>
      </c>
      <c r="E31" s="6" t="s">
        <v>431</v>
      </c>
      <c r="F31" s="17" t="n">
        <v>0.002</v>
      </c>
      <c r="G31" s="18" t="n">
        <f aca="false">C31*F31</f>
        <v>0.004</v>
      </c>
      <c r="H31" s="17" t="n">
        <v>0.002</v>
      </c>
      <c r="I31" s="18" t="n">
        <f aca="false">C31*H31</f>
        <v>0.004</v>
      </c>
      <c r="J31" s="6" t="s">
        <v>394</v>
      </c>
      <c r="K31" s="6" t="s">
        <v>346</v>
      </c>
    </row>
    <row r="32" customFormat="false" ht="15" hidden="false" customHeight="false" outlineLevel="0" collapsed="false">
      <c r="A32" s="7" t="n">
        <v>27</v>
      </c>
      <c r="B32" s="8" t="s">
        <v>204</v>
      </c>
      <c r="C32" s="7" t="n">
        <v>2</v>
      </c>
      <c r="D32" s="8" t="s">
        <v>206</v>
      </c>
      <c r="E32" s="8" t="s">
        <v>432</v>
      </c>
      <c r="F32" s="15" t="n">
        <v>0.002</v>
      </c>
      <c r="G32" s="16" t="n">
        <f aca="false">C32*F32</f>
        <v>0.004</v>
      </c>
      <c r="H32" s="15" t="n">
        <v>0.002</v>
      </c>
      <c r="I32" s="16" t="n">
        <f aca="false">C32*H32</f>
        <v>0.004</v>
      </c>
      <c r="J32" s="8" t="s">
        <v>394</v>
      </c>
      <c r="K32" s="8" t="s">
        <v>346</v>
      </c>
    </row>
    <row r="33" customFormat="false" ht="15" hidden="false" customHeight="false" outlineLevel="0" collapsed="false">
      <c r="A33" s="5" t="n">
        <v>28</v>
      </c>
      <c r="B33" s="6" t="s">
        <v>210</v>
      </c>
      <c r="C33" s="5" t="n">
        <v>2</v>
      </c>
      <c r="D33" s="6" t="s">
        <v>212</v>
      </c>
      <c r="E33" s="6" t="s">
        <v>433</v>
      </c>
      <c r="F33" s="17" t="n">
        <v>0.002</v>
      </c>
      <c r="G33" s="18" t="n">
        <f aca="false">C33*F33</f>
        <v>0.004</v>
      </c>
      <c r="H33" s="17" t="n">
        <v>0.002</v>
      </c>
      <c r="I33" s="18" t="n">
        <f aca="false">C33*H33</f>
        <v>0.004</v>
      </c>
      <c r="J33" s="6" t="s">
        <v>394</v>
      </c>
      <c r="K33" s="6" t="s">
        <v>346</v>
      </c>
    </row>
    <row r="34" customFormat="false" ht="23.85" hidden="false" customHeight="false" outlineLevel="0" collapsed="false">
      <c r="A34" s="7" t="n">
        <v>29</v>
      </c>
      <c r="B34" s="8" t="s">
        <v>216</v>
      </c>
      <c r="C34" s="7" t="n">
        <v>9</v>
      </c>
      <c r="D34" s="8" t="s">
        <v>218</v>
      </c>
      <c r="E34" s="8" t="s">
        <v>434</v>
      </c>
      <c r="F34" s="15" t="n">
        <v>0.002</v>
      </c>
      <c r="G34" s="16" t="n">
        <f aca="false">C34*F34</f>
        <v>0.018</v>
      </c>
      <c r="H34" s="15" t="n">
        <v>0.002</v>
      </c>
      <c r="I34" s="16" t="n">
        <f aca="false">C34*H34</f>
        <v>0.018</v>
      </c>
      <c r="J34" s="8" t="s">
        <v>394</v>
      </c>
      <c r="K34" s="8" t="s">
        <v>346</v>
      </c>
    </row>
    <row r="35" customFormat="false" ht="15" hidden="false" customHeight="false" outlineLevel="0" collapsed="false">
      <c r="A35" s="5" t="n">
        <v>30</v>
      </c>
      <c r="B35" s="6" t="s">
        <v>222</v>
      </c>
      <c r="C35" s="5" t="n">
        <v>1</v>
      </c>
      <c r="D35" s="6" t="s">
        <v>224</v>
      </c>
      <c r="E35" s="6" t="s">
        <v>435</v>
      </c>
      <c r="F35" s="17" t="n">
        <v>0.002</v>
      </c>
      <c r="G35" s="18" t="n">
        <f aca="false">C35*F35</f>
        <v>0.002</v>
      </c>
      <c r="H35" s="17" t="n">
        <v>0.002</v>
      </c>
      <c r="I35" s="18" t="n">
        <f aca="false">C35*H35</f>
        <v>0.002</v>
      </c>
      <c r="J35" s="6" t="s">
        <v>394</v>
      </c>
      <c r="K35" s="6" t="s">
        <v>346</v>
      </c>
    </row>
    <row r="36" customFormat="false" ht="15" hidden="false" customHeight="false" outlineLevel="0" collapsed="false">
      <c r="A36" s="7" t="n">
        <v>31</v>
      </c>
      <c r="B36" s="8" t="s">
        <v>228</v>
      </c>
      <c r="C36" s="7" t="n">
        <v>1</v>
      </c>
      <c r="D36" s="8" t="s">
        <v>230</v>
      </c>
      <c r="E36" s="8" t="s">
        <v>436</v>
      </c>
      <c r="F36" s="15" t="n">
        <v>0.002</v>
      </c>
      <c r="G36" s="16" t="n">
        <f aca="false">C36*F36</f>
        <v>0.002</v>
      </c>
      <c r="H36" s="15" t="n">
        <v>0.002</v>
      </c>
      <c r="I36" s="16" t="n">
        <f aca="false">C36*H36</f>
        <v>0.002</v>
      </c>
      <c r="J36" s="8" t="s">
        <v>394</v>
      </c>
      <c r="K36" s="8" t="s">
        <v>346</v>
      </c>
    </row>
    <row r="37" customFormat="false" ht="15" hidden="false" customHeight="false" outlineLevel="0" collapsed="false">
      <c r="A37" s="5" t="n">
        <v>32</v>
      </c>
      <c r="B37" s="6" t="s">
        <v>234</v>
      </c>
      <c r="C37" s="5" t="n">
        <v>1</v>
      </c>
      <c r="D37" s="6" t="s">
        <v>236</v>
      </c>
      <c r="E37" s="6" t="s">
        <v>437</v>
      </c>
      <c r="F37" s="17" t="n">
        <v>0.002</v>
      </c>
      <c r="G37" s="18" t="n">
        <f aca="false">C37*F37</f>
        <v>0.002</v>
      </c>
      <c r="H37" s="17" t="n">
        <v>0.002</v>
      </c>
      <c r="I37" s="18" t="n">
        <f aca="false">C37*H37</f>
        <v>0.002</v>
      </c>
      <c r="J37" s="6" t="s">
        <v>394</v>
      </c>
      <c r="K37" s="6" t="s">
        <v>346</v>
      </c>
    </row>
    <row r="38" customFormat="false" ht="15" hidden="false" customHeight="false" outlineLevel="0" collapsed="false">
      <c r="A38" s="7" t="n">
        <v>33</v>
      </c>
      <c r="B38" s="8" t="s">
        <v>240</v>
      </c>
      <c r="C38" s="7" t="n">
        <v>1</v>
      </c>
      <c r="D38" s="8" t="s">
        <v>242</v>
      </c>
      <c r="E38" s="8" t="s">
        <v>438</v>
      </c>
      <c r="F38" s="15" t="n">
        <v>0.002</v>
      </c>
      <c r="G38" s="16" t="n">
        <f aca="false">C38*F38</f>
        <v>0.002</v>
      </c>
      <c r="H38" s="15" t="n">
        <v>0.002</v>
      </c>
      <c r="I38" s="16" t="n">
        <f aca="false">C38*H38</f>
        <v>0.002</v>
      </c>
      <c r="J38" s="8" t="s">
        <v>394</v>
      </c>
      <c r="K38" s="8" t="s">
        <v>346</v>
      </c>
    </row>
    <row r="39" customFormat="false" ht="15" hidden="false" customHeight="false" outlineLevel="0" collapsed="false">
      <c r="A39" s="5" t="n">
        <v>34</v>
      </c>
      <c r="B39" s="6" t="s">
        <v>246</v>
      </c>
      <c r="C39" s="5" t="n">
        <v>1</v>
      </c>
      <c r="D39" s="6" t="s">
        <v>248</v>
      </c>
      <c r="E39" s="6" t="s">
        <v>439</v>
      </c>
      <c r="F39" s="17" t="n">
        <v>0.002</v>
      </c>
      <c r="G39" s="18" t="n">
        <f aca="false">C39*F39</f>
        <v>0.002</v>
      </c>
      <c r="H39" s="17" t="n">
        <v>0.002</v>
      </c>
      <c r="I39" s="18" t="n">
        <f aca="false">C39*H39</f>
        <v>0.002</v>
      </c>
      <c r="J39" s="6" t="s">
        <v>394</v>
      </c>
      <c r="K39" s="6" t="s">
        <v>346</v>
      </c>
    </row>
    <row r="40" customFormat="false" ht="15" hidden="false" customHeight="false" outlineLevel="0" collapsed="false">
      <c r="A40" s="7" t="n">
        <v>35</v>
      </c>
      <c r="B40" s="8" t="s">
        <v>252</v>
      </c>
      <c r="C40" s="7" t="n">
        <v>1</v>
      </c>
      <c r="D40" s="8" t="s">
        <v>254</v>
      </c>
      <c r="E40" s="8" t="s">
        <v>440</v>
      </c>
      <c r="F40" s="15" t="n">
        <v>0.002</v>
      </c>
      <c r="G40" s="16" t="n">
        <f aca="false">C40*F40</f>
        <v>0.002</v>
      </c>
      <c r="H40" s="15" t="n">
        <v>0.002</v>
      </c>
      <c r="I40" s="16" t="n">
        <f aca="false">C40*H40</f>
        <v>0.002</v>
      </c>
      <c r="J40" s="8" t="s">
        <v>394</v>
      </c>
      <c r="K40" s="8" t="s">
        <v>346</v>
      </c>
    </row>
    <row r="41" customFormat="false" ht="15" hidden="false" customHeight="false" outlineLevel="0" collapsed="false">
      <c r="A41" s="5" t="n">
        <v>36</v>
      </c>
      <c r="B41" s="6" t="s">
        <v>258</v>
      </c>
      <c r="C41" s="5" t="n">
        <v>1</v>
      </c>
      <c r="D41" s="6" t="s">
        <v>260</v>
      </c>
      <c r="E41" s="6" t="s">
        <v>441</v>
      </c>
      <c r="F41" s="17" t="n">
        <v>0.002</v>
      </c>
      <c r="G41" s="18" t="n">
        <f aca="false">C41*F41</f>
        <v>0.002</v>
      </c>
      <c r="H41" s="17" t="n">
        <v>0.002</v>
      </c>
      <c r="I41" s="18" t="n">
        <f aca="false">C41*H41</f>
        <v>0.002</v>
      </c>
      <c r="J41" s="6" t="s">
        <v>394</v>
      </c>
      <c r="K41" s="6" t="s">
        <v>346</v>
      </c>
    </row>
    <row r="42" customFormat="false" ht="15" hidden="false" customHeight="false" outlineLevel="0" collapsed="false">
      <c r="A42" s="7" t="n">
        <v>37</v>
      </c>
      <c r="B42" s="8" t="s">
        <v>264</v>
      </c>
      <c r="C42" s="7" t="n">
        <v>1</v>
      </c>
      <c r="D42" s="8" t="s">
        <v>266</v>
      </c>
      <c r="E42" s="8" t="s">
        <v>442</v>
      </c>
      <c r="F42" s="15" t="n">
        <v>3.0014</v>
      </c>
      <c r="G42" s="16" t="n">
        <f aca="false">C42*F42</f>
        <v>3.0014</v>
      </c>
      <c r="H42" s="15" t="n">
        <v>2.4748</v>
      </c>
      <c r="I42" s="16" t="n">
        <f aca="false">C42*H42</f>
        <v>2.4748</v>
      </c>
      <c r="J42" s="8" t="s">
        <v>389</v>
      </c>
      <c r="K42" s="8" t="s">
        <v>346</v>
      </c>
    </row>
    <row r="43" customFormat="false" ht="23.85" hidden="false" customHeight="false" outlineLevel="0" collapsed="false">
      <c r="A43" s="5" t="n">
        <v>38</v>
      </c>
      <c r="B43" s="6" t="s">
        <v>272</v>
      </c>
      <c r="C43" s="5" t="n">
        <v>1</v>
      </c>
      <c r="D43" s="6" t="s">
        <v>273</v>
      </c>
      <c r="E43" s="6" t="s">
        <v>443</v>
      </c>
      <c r="F43" s="17" t="n">
        <v>7.8102</v>
      </c>
      <c r="G43" s="18" t="n">
        <f aca="false">C43*F43</f>
        <v>7.8102</v>
      </c>
      <c r="H43" s="17" t="n">
        <v>5.8543</v>
      </c>
      <c r="I43" s="18" t="n">
        <f aca="false">C43*H43</f>
        <v>5.8543</v>
      </c>
      <c r="J43" s="6" t="s">
        <v>389</v>
      </c>
      <c r="K43" s="6" t="s">
        <v>444</v>
      </c>
    </row>
    <row r="44" customFormat="false" ht="15" hidden="false" customHeight="false" outlineLevel="0" collapsed="false">
      <c r="A44" s="7" t="n">
        <v>39</v>
      </c>
      <c r="B44" s="8" t="s">
        <v>278</v>
      </c>
      <c r="C44" s="7" t="n">
        <v>1</v>
      </c>
      <c r="D44" s="8" t="s">
        <v>280</v>
      </c>
      <c r="E44" s="8" t="s">
        <v>445</v>
      </c>
      <c r="F44" s="15" t="n">
        <v>3.6906</v>
      </c>
      <c r="G44" s="16" t="n">
        <f aca="false">C44*F44</f>
        <v>3.6906</v>
      </c>
      <c r="H44" s="15" t="n">
        <v>2.981</v>
      </c>
      <c r="I44" s="16" t="n">
        <f aca="false">C44*H44</f>
        <v>2.981</v>
      </c>
      <c r="J44" s="8" t="s">
        <v>389</v>
      </c>
      <c r="K44" s="8" t="s">
        <v>346</v>
      </c>
    </row>
    <row r="45" customFormat="false" ht="23.85" hidden="false" customHeight="false" outlineLevel="0" collapsed="false">
      <c r="A45" s="5" t="n">
        <v>40</v>
      </c>
      <c r="B45" s="6" t="s">
        <v>285</v>
      </c>
      <c r="C45" s="5" t="n">
        <v>1</v>
      </c>
      <c r="D45" s="6" t="s">
        <v>287</v>
      </c>
      <c r="E45" s="6" t="s">
        <v>446</v>
      </c>
      <c r="F45" s="17" t="n">
        <v>3.9895</v>
      </c>
      <c r="G45" s="18" t="n">
        <f aca="false">C45*F45</f>
        <v>3.9895</v>
      </c>
      <c r="H45" s="17" t="n">
        <v>3.9895</v>
      </c>
      <c r="I45" s="18" t="n">
        <f aca="false">C45*H45</f>
        <v>3.9895</v>
      </c>
      <c r="J45" s="6" t="s">
        <v>389</v>
      </c>
      <c r="K45" s="6" t="s">
        <v>447</v>
      </c>
    </row>
    <row r="46" customFormat="false" ht="15" hidden="false" customHeight="false" outlineLevel="0" collapsed="false">
      <c r="A46" s="7" t="n">
        <v>41</v>
      </c>
      <c r="B46" s="8" t="s">
        <v>292</v>
      </c>
      <c r="C46" s="7" t="n">
        <v>1</v>
      </c>
      <c r="D46" s="8" t="s">
        <v>293</v>
      </c>
      <c r="E46" s="8" t="s">
        <v>448</v>
      </c>
      <c r="F46" s="15" t="n">
        <v>0.6</v>
      </c>
      <c r="G46" s="16" t="n">
        <f aca="false">C46*F46</f>
        <v>0.6</v>
      </c>
      <c r="H46" s="15" t="n">
        <v>0.48</v>
      </c>
      <c r="I46" s="16" t="n">
        <f aca="false">C46*H46</f>
        <v>0.48</v>
      </c>
      <c r="J46" s="8" t="s">
        <v>394</v>
      </c>
      <c r="K46" s="8" t="s">
        <v>346</v>
      </c>
    </row>
    <row r="47" customFormat="false" ht="15" hidden="false" customHeight="false" outlineLevel="0" collapsed="false">
      <c r="A47" s="5" t="n">
        <v>42</v>
      </c>
      <c r="B47" s="6" t="s">
        <v>298</v>
      </c>
      <c r="C47" s="5" t="n">
        <v>1</v>
      </c>
      <c r="D47" s="6" t="s">
        <v>299</v>
      </c>
      <c r="E47" s="6" t="s">
        <v>449</v>
      </c>
      <c r="F47" s="17" t="n">
        <v>0.1786</v>
      </c>
      <c r="G47" s="18" t="n">
        <f aca="false">C47*F47</f>
        <v>0.1786</v>
      </c>
      <c r="H47" s="17" t="n">
        <v>0.1375</v>
      </c>
      <c r="I47" s="18" t="n">
        <f aca="false">C47*H47</f>
        <v>0.1375</v>
      </c>
      <c r="J47" s="6" t="s">
        <v>389</v>
      </c>
      <c r="K47" s="6" t="s">
        <v>414</v>
      </c>
    </row>
    <row r="48" customFormat="false" ht="15" hidden="false" customHeight="false" outlineLevel="0" collapsed="false">
      <c r="A48" s="7" t="n">
        <v>43</v>
      </c>
      <c r="B48" s="8" t="s">
        <v>304</v>
      </c>
      <c r="C48" s="7" t="n">
        <v>1</v>
      </c>
      <c r="D48" s="8" t="s">
        <v>305</v>
      </c>
      <c r="E48" s="8" t="s">
        <v>450</v>
      </c>
      <c r="F48" s="15" t="n">
        <v>0.368</v>
      </c>
      <c r="G48" s="16" t="n">
        <f aca="false">C48*F48</f>
        <v>0.368</v>
      </c>
      <c r="H48" s="15" t="n">
        <v>0.2711</v>
      </c>
      <c r="I48" s="16" t="n">
        <f aca="false">C48*H48</f>
        <v>0.2711</v>
      </c>
      <c r="J48" s="8" t="s">
        <v>389</v>
      </c>
      <c r="K48" s="8" t="s">
        <v>346</v>
      </c>
    </row>
    <row r="49" customFormat="false" ht="15" hidden="false" customHeight="false" outlineLevel="0" collapsed="false">
      <c r="A49" s="5" t="n">
        <v>44</v>
      </c>
      <c r="B49" s="6" t="s">
        <v>310</v>
      </c>
      <c r="C49" s="5" t="n">
        <v>1</v>
      </c>
      <c r="D49" s="6" t="s">
        <v>312</v>
      </c>
      <c r="E49" s="6" t="s">
        <v>451</v>
      </c>
      <c r="F49" s="17" t="n">
        <v>1.6</v>
      </c>
      <c r="G49" s="18" t="n">
        <f aca="false">C49*F49</f>
        <v>1.6</v>
      </c>
      <c r="H49" s="17" t="n">
        <v>1.3</v>
      </c>
      <c r="I49" s="18" t="n">
        <f aca="false">C49*H49</f>
        <v>1.3</v>
      </c>
      <c r="J49" s="6" t="s">
        <v>394</v>
      </c>
      <c r="K49" s="6" t="s">
        <v>452</v>
      </c>
    </row>
    <row r="50" customFormat="false" ht="15" hidden="false" customHeight="false" outlineLevel="0" collapsed="false">
      <c r="A50" s="7" t="n">
        <v>45</v>
      </c>
      <c r="B50" s="8" t="s">
        <v>318</v>
      </c>
      <c r="C50" s="7" t="n">
        <v>1</v>
      </c>
      <c r="D50" s="8" t="s">
        <v>319</v>
      </c>
      <c r="E50" s="8" t="s">
        <v>453</v>
      </c>
      <c r="F50" s="15" t="n">
        <v>0.4186</v>
      </c>
      <c r="G50" s="16" t="n">
        <f aca="false">C50*F50</f>
        <v>0.4186</v>
      </c>
      <c r="H50" s="15" t="n">
        <v>0.3181</v>
      </c>
      <c r="I50" s="16" t="n">
        <f aca="false">C50*H50</f>
        <v>0.3181</v>
      </c>
      <c r="J50" s="8" t="s">
        <v>389</v>
      </c>
      <c r="K50" s="8" t="s">
        <v>454</v>
      </c>
    </row>
    <row r="51" customFormat="false" ht="15" hidden="false" customHeight="false" outlineLevel="0" collapsed="false">
      <c r="A51" s="5" t="n">
        <v>46</v>
      </c>
      <c r="B51" s="6" t="s">
        <v>323</v>
      </c>
      <c r="C51" s="5" t="n">
        <v>1</v>
      </c>
      <c r="D51" s="6" t="s">
        <v>324</v>
      </c>
      <c r="E51" s="6" t="s">
        <v>455</v>
      </c>
      <c r="F51" s="17" t="n">
        <v>3.6923</v>
      </c>
      <c r="G51" s="18" t="n">
        <f aca="false">C51*F51</f>
        <v>3.6923</v>
      </c>
      <c r="H51" s="17" t="n">
        <v>3.3626</v>
      </c>
      <c r="I51" s="18" t="n">
        <f aca="false">C51*H51</f>
        <v>3.3626</v>
      </c>
      <c r="J51" s="6" t="s">
        <v>389</v>
      </c>
      <c r="K51" s="6" t="s">
        <v>456</v>
      </c>
    </row>
    <row r="52" customFormat="false" ht="15" hidden="false" customHeight="false" outlineLevel="0" collapsed="false">
      <c r="A52" s="7" t="n">
        <v>47</v>
      </c>
      <c r="B52" s="8" t="s">
        <v>330</v>
      </c>
      <c r="C52" s="7" t="n">
        <v>1</v>
      </c>
      <c r="D52" s="8" t="s">
        <v>331</v>
      </c>
      <c r="E52" s="8" t="s">
        <v>457</v>
      </c>
      <c r="F52" s="15" t="n">
        <v>0.0593</v>
      </c>
      <c r="G52" s="16" t="n">
        <f aca="false">C52*F52</f>
        <v>0.0593</v>
      </c>
      <c r="H52" s="15" t="n">
        <v>0.0593</v>
      </c>
      <c r="I52" s="16" t="n">
        <f aca="false">C52*H52</f>
        <v>0.0593</v>
      </c>
      <c r="J52" s="8" t="s">
        <v>389</v>
      </c>
      <c r="K52" s="8" t="s">
        <v>458</v>
      </c>
    </row>
    <row r="53" customFormat="false" ht="23.85" hidden="false" customHeight="false" outlineLevel="0" collapsed="false">
      <c r="A53" s="5" t="n">
        <v>48</v>
      </c>
      <c r="B53" s="6" t="s">
        <v>336</v>
      </c>
      <c r="C53" s="5" t="n">
        <v>1</v>
      </c>
      <c r="D53" s="6" t="s">
        <v>338</v>
      </c>
      <c r="E53" s="6" t="s">
        <v>459</v>
      </c>
      <c r="F53" s="17" t="n">
        <v>0.3534</v>
      </c>
      <c r="G53" s="18" t="n">
        <f aca="false">C53*F53</f>
        <v>0.3534</v>
      </c>
      <c r="H53" s="17" t="n">
        <v>0.3534</v>
      </c>
      <c r="I53" s="18" t="n">
        <f aca="false">C53*H53</f>
        <v>0.3534</v>
      </c>
      <c r="J53" s="6" t="s">
        <v>389</v>
      </c>
      <c r="K53" s="6" t="s">
        <v>460</v>
      </c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19"/>
      <c r="B55" s="20" t="s">
        <v>461</v>
      </c>
      <c r="C55" s="21" t="n">
        <f aca="false">SUM(C6:C53)</f>
        <v>94</v>
      </c>
      <c r="D55" s="19" t="s">
        <v>462</v>
      </c>
      <c r="E55" s="19"/>
      <c r="F55" s="19"/>
      <c r="G55" s="22" t="n">
        <f aca="false">SUM(G6:G53)</f>
        <v>29.4006</v>
      </c>
      <c r="H55" s="19"/>
      <c r="I55" s="22" t="n">
        <f aca="false">SUM(I6:I53)</f>
        <v>24.5551</v>
      </c>
      <c r="J55" s="19"/>
      <c r="K55" s="19" t="s">
        <v>463</v>
      </c>
    </row>
    <row r="56" customFormat="false" ht="15" hidden="false" customHeight="false" outlineLevel="0" collapsed="false">
      <c r="A56" s="19"/>
      <c r="B56" s="19" t="s">
        <v>464</v>
      </c>
      <c r="C56" s="21"/>
      <c r="D56" s="19"/>
      <c r="E56" s="19"/>
      <c r="F56" s="19"/>
      <c r="G56" s="23" t="n">
        <f aca="false">G55*C3</f>
        <v>27.048552</v>
      </c>
      <c r="H56" s="19"/>
      <c r="I56" s="23" t="n">
        <f aca="false">I55*C3</f>
        <v>22.590692</v>
      </c>
      <c r="J56" s="19"/>
      <c r="K56" s="19" t="s">
        <v>465</v>
      </c>
    </row>
    <row r="57" customFormat="false" ht="15" hidden="false" customHeight="false" outlineLevel="0" collapsed="false">
      <c r="A57" s="19"/>
      <c r="B57" s="19" t="s">
        <v>466</v>
      </c>
      <c r="C57" s="21"/>
      <c r="D57" s="19"/>
      <c r="E57" s="19"/>
      <c r="F57" s="19"/>
      <c r="G57" s="23" t="n">
        <f aca="false">G55*10</f>
        <v>294.006</v>
      </c>
      <c r="H57" s="19"/>
      <c r="I57" s="23" t="n">
        <f aca="false">I55*100</f>
        <v>2455.51</v>
      </c>
      <c r="J57" s="19"/>
      <c r="K57" s="19" t="s">
        <v>467</v>
      </c>
    </row>
    <row r="58" customFormat="false" ht="23.85" hidden="false" customHeight="false" outlineLevel="0" collapsed="false">
      <c r="A58" s="19"/>
      <c r="B58" s="19" t="s">
        <v>468</v>
      </c>
      <c r="C58" s="21"/>
      <c r="D58" s="19"/>
      <c r="E58" s="19"/>
      <c r="F58" s="19"/>
      <c r="G58" s="24" t="n">
        <f aca="false">(G43+G42+G44+G45)/G55</f>
        <v>0.628956551907104</v>
      </c>
      <c r="H58" s="19"/>
      <c r="I58" s="24" t="n">
        <f aca="false">(I43+I42+I44+I45)/I55</f>
        <v>0.623072192742037</v>
      </c>
      <c r="J58" s="19"/>
      <c r="K58" s="19" t="s">
        <v>469</v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2" t="s">
        <v>470</v>
      </c>
      <c r="B60" s="2"/>
      <c r="C60" s="2"/>
      <c r="D60" s="2"/>
      <c r="E60" s="2"/>
      <c r="F60" s="2"/>
      <c r="G60" s="2"/>
      <c r="H60" s="2"/>
      <c r="I60" s="2"/>
      <c r="J60" s="2"/>
      <c r="K60" s="2"/>
    </row>
  </sheetData>
  <mergeCells count="3">
    <mergeCell ref="A1:K1"/>
    <mergeCell ref="A2:K2"/>
    <mergeCell ref="A60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2026-10-27T12:01:49Z</dcterms:created>
  <dc:creator>openpyxl</dc:creator>
  <dc:description/>
  <dc:language>en-US</dc:language>
  <cp:lastModifiedBy/>
  <dcterms:modified xsi:type="dcterms:W3CDTF">2026-10-27T12:01:49Z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