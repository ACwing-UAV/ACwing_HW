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BoM" sheetId="1" state="visible" r:id="rId1"/>
    <sheet xmlns:r="http://schemas.openxmlformats.org/officeDocument/2006/relationships" name="Costing" sheetId="2" state="visible" r:id="rId2"/>
  </sheets>
  <definedNames>
    <definedName name="_xlnm._FilterDatabase" localSheetId="0" hidden="1">'BoM'!$A$4:$K$59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0"/>
  </numFmts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3"/>
    </font>
    <font>
      <name val="Arial"/>
      <charset val="1"/>
      <family val="0"/>
      <i val="1"/>
      <color rgb="FF595959"/>
      <sz val="9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sz val="11"/>
    </font>
    <font>
      <name val="Arial"/>
      <charset val="1"/>
      <family val="0"/>
      <color rgb="FF0000FF"/>
      <sz val="10"/>
    </font>
  </fonts>
  <fills count="7">
    <fill>
      <patternFill/>
    </fill>
    <fill>
      <patternFill patternType="gray125"/>
    </fill>
    <fill>
      <patternFill patternType="solid">
        <fgColor rgb="FF305496"/>
        <bgColor rgb="FF595959"/>
      </patternFill>
    </fill>
    <fill>
      <patternFill patternType="solid">
        <fgColor rgb="FFF2F2F2"/>
        <bgColor rgb="FFDDEBF7"/>
      </patternFill>
    </fill>
    <fill>
      <patternFill patternType="solid">
        <fgColor rgb="FF7F7F7F"/>
        <bgColor rgb="FF969696"/>
      </patternFill>
    </fill>
    <fill>
      <patternFill patternType="solid">
        <fgColor rgb="FFFFFF00"/>
        <bgColor rgb="FFFFFF00"/>
      </patternFill>
    </fill>
    <fill>
      <patternFill patternType="solid">
        <fgColor rgb="FFDDEBF7"/>
        <bgColor rgb="FFF2F2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center" vertical="top"/>
    </xf>
    <xf numFmtId="0" fontId="6" fillId="3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right" vertical="bottom"/>
    </xf>
    <xf numFmtId="0" fontId="9" fillId="0" borderId="0" applyAlignment="1" pivotButton="0" quotePrefix="0" xfId="0">
      <alignment horizontal="general" vertical="top"/>
    </xf>
    <xf numFmtId="0" fontId="7" fillId="4" borderId="0" applyAlignment="1" pivotButton="0" quotePrefix="0" xfId="0">
      <alignment horizontal="center" vertical="center" wrapText="1"/>
    </xf>
    <xf numFmtId="2" fontId="10" fillId="5" borderId="0" applyAlignment="1" pivotButton="0" quotePrefix="0" xfId="0">
      <alignment horizontal="general" vertical="top" wrapText="1"/>
    </xf>
    <xf numFmtId="164" fontId="10" fillId="3" borderId="1" applyAlignment="1" pivotButton="0" quotePrefix="0" xfId="0">
      <alignment horizontal="general" vertical="top" wrapText="1"/>
    </xf>
    <xf numFmtId="164" fontId="6" fillId="3" borderId="1" applyAlignment="1" pivotButton="0" quotePrefix="0" xfId="0">
      <alignment horizontal="general" vertical="top" wrapText="1"/>
    </xf>
    <xf numFmtId="164" fontId="10" fillId="0" borderId="1" applyAlignment="1" pivotButton="0" quotePrefix="0" xfId="0">
      <alignment horizontal="general" vertical="top" wrapText="1"/>
    </xf>
    <xf numFmtId="164" fontId="6" fillId="0" borderId="1" applyAlignment="1" pivotButton="0" quotePrefix="0" xfId="0">
      <alignment horizontal="general" vertical="top" wrapText="1"/>
    </xf>
    <xf numFmtId="0" fontId="8" fillId="0" borderId="2" applyAlignment="1" pivotButton="0" quotePrefix="0" xfId="0">
      <alignment horizontal="general" vertical="top" wrapText="1"/>
    </xf>
    <xf numFmtId="0" fontId="8" fillId="6" borderId="2" applyAlignment="1" pivotButton="0" quotePrefix="0" xfId="0">
      <alignment horizontal="general" vertical="top" wrapText="1"/>
    </xf>
    <xf numFmtId="0" fontId="8" fillId="0" borderId="2" applyAlignment="1" pivotButton="0" quotePrefix="0" xfId="0">
      <alignment horizontal="center" vertical="bottom"/>
    </xf>
    <xf numFmtId="2" fontId="8" fillId="6" borderId="2" applyAlignment="1" pivotButton="0" quotePrefix="0" xfId="0">
      <alignment horizontal="general" vertical="top" wrapText="1"/>
    </xf>
    <xf numFmtId="2" fontId="8" fillId="0" borderId="2" applyAlignment="1" pivotButton="0" quotePrefix="0" xfId="0">
      <alignment horizontal="general" vertical="top" wrapText="1"/>
    </xf>
    <xf numFmtId="9" fontId="8" fillId="0" borderId="2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center" vertical="top"/>
    </xf>
    <xf numFmtId="0" fontId="6" fillId="3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right" vertical="bottom"/>
    </xf>
    <xf numFmtId="0" fontId="9" fillId="0" borderId="0" applyAlignment="1" pivotButton="0" quotePrefix="0" xfId="0">
      <alignment horizontal="general" vertical="top"/>
    </xf>
    <xf numFmtId="0" fontId="7" fillId="4" borderId="0" applyAlignment="1" pivotButton="0" quotePrefix="0" xfId="0">
      <alignment horizontal="center" vertical="center" wrapText="1"/>
    </xf>
    <xf numFmtId="2" fontId="10" fillId="5" borderId="0" applyAlignment="1" pivotButton="0" quotePrefix="0" xfId="0">
      <alignment horizontal="general" vertical="top" wrapText="1"/>
    </xf>
    <xf numFmtId="164" fontId="10" fillId="3" borderId="1" applyAlignment="1" pivotButton="0" quotePrefix="0" xfId="0">
      <alignment horizontal="general" vertical="top" wrapText="1"/>
    </xf>
    <xf numFmtId="164" fontId="6" fillId="3" borderId="1" applyAlignment="1" pivotButton="0" quotePrefix="0" xfId="0">
      <alignment horizontal="general" vertical="top" wrapText="1"/>
    </xf>
    <xf numFmtId="164" fontId="10" fillId="0" borderId="1" applyAlignment="1" pivotButton="0" quotePrefix="0" xfId="0">
      <alignment horizontal="general" vertical="top" wrapText="1"/>
    </xf>
    <xf numFmtId="164" fontId="6" fillId="0" borderId="1" applyAlignment="1" pivotButton="0" quotePrefix="0" xfId="0">
      <alignment horizontal="general" vertical="top" wrapText="1"/>
    </xf>
    <xf numFmtId="0" fontId="8" fillId="0" borderId="2" applyAlignment="1" pivotButton="0" quotePrefix="0" xfId="0">
      <alignment horizontal="general" vertical="top" wrapText="1"/>
    </xf>
    <xf numFmtId="0" fontId="8" fillId="6" borderId="2" applyAlignment="1" pivotButton="0" quotePrefix="0" xfId="0">
      <alignment horizontal="general" vertical="top" wrapText="1"/>
    </xf>
    <xf numFmtId="0" fontId="8" fillId="0" borderId="2" applyAlignment="1" pivotButton="0" quotePrefix="0" xfId="0">
      <alignment horizontal="center" vertical="bottom"/>
    </xf>
    <xf numFmtId="2" fontId="8" fillId="6" borderId="2" applyAlignment="1" pivotButton="0" quotePrefix="0" xfId="0">
      <alignment horizontal="general" vertical="top" wrapText="1"/>
    </xf>
    <xf numFmtId="2" fontId="8" fillId="0" borderId="2" applyAlignment="1" pivotButton="0" quotePrefix="0" xfId="0">
      <alignment horizontal="general" vertical="top" wrapText="1"/>
    </xf>
    <xf numFmtId="9" fontId="8" fillId="0" borderId="2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305496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2F2F2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K6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25" min="1" max="1"/>
    <col width="9" customWidth="1" style="25" min="2" max="2"/>
    <col width="30" customWidth="1" style="25" min="3" max="3"/>
    <col width="20" customWidth="1" style="25" min="4" max="4"/>
    <col width="24" customWidth="1" style="25" min="5" max="5"/>
    <col width="22" customWidth="1" style="25" min="6" max="6"/>
    <col width="14" customWidth="1" style="25" min="7" max="7"/>
    <col width="28" customWidth="1" style="25" min="8" max="8"/>
    <col width="48" customWidth="1" style="25" min="9" max="9"/>
    <col width="8" customWidth="1" style="25" min="10" max="10"/>
    <col width="50" customWidth="1" style="25" min="11" max="11"/>
  </cols>
  <sheetData>
    <row r="1" ht="16.15" customHeight="1" s="26">
      <c r="A1" s="27" t="inlineStr">
        <is>
          <t>ACwing FC rev H - assembly BoM (1 board)</t>
        </is>
      </c>
    </row>
    <row r="2" ht="15" customHeight="1" s="26">
      <c r="A2" s="28" t="inlineStr">
        <is>
          <t>Source: ACwing_FC_H.kicad_sch / ACwing_FC_H.kicad_pcb. MPNs = parts as assembled by JLCPCB (LCSC part numbers checked on 2026-10-16/18); equivalents are noted where they replace the originally specified part.</t>
        </is>
      </c>
    </row>
    <row r="3" ht="15" customHeight="1" s="26">
      <c r="A3" s="29" t="n"/>
      <c r="B3" s="29" t="n"/>
      <c r="C3" s="29" t="n"/>
      <c r="D3" s="29" t="n"/>
      <c r="E3" s="29" t="n"/>
      <c r="F3" s="29" t="n"/>
      <c r="G3" s="29" t="n"/>
      <c r="H3" s="29" t="n"/>
      <c r="I3" s="29" t="n"/>
      <c r="J3" s="29" t="n"/>
      <c r="K3" s="29" t="n"/>
    </row>
    <row r="4" ht="23.85" customHeight="1" s="26">
      <c r="A4" s="30" t="inlineStr">
        <is>
          <t>Item</t>
        </is>
      </c>
      <c r="B4" s="30" t="inlineStr">
        <is>
          <t>Quantity</t>
        </is>
      </c>
      <c r="C4" s="30" t="inlineStr">
        <is>
          <t>Part Reference</t>
        </is>
      </c>
      <c r="D4" s="30" t="inlineStr">
        <is>
          <t>Value</t>
        </is>
      </c>
      <c r="E4" s="30" t="inlineStr">
        <is>
          <t>MPN</t>
        </is>
      </c>
      <c r="F4" s="30" t="inlineStr">
        <is>
          <t>Manufacturer</t>
        </is>
      </c>
      <c r="G4" s="30" t="inlineStr">
        <is>
          <t>LCSC / JLCPCB #</t>
        </is>
      </c>
      <c r="H4" s="30" t="inlineStr">
        <is>
          <t>Package</t>
        </is>
      </c>
      <c r="I4" s="30" t="inlineStr">
        <is>
          <t>Description</t>
        </is>
      </c>
      <c r="J4" s="30" t="inlineStr">
        <is>
          <t>Side</t>
        </is>
      </c>
      <c r="K4" s="30" t="inlineStr">
        <is>
          <t>Notes</t>
        </is>
      </c>
    </row>
    <row r="5" ht="35.05" customHeight="1" s="26">
      <c r="A5" s="31" t="n">
        <v>1</v>
      </c>
      <c r="B5" s="31" t="n">
        <v>1</v>
      </c>
      <c r="C5" s="32" t="inlineStr">
        <is>
          <t>AE1</t>
        </is>
      </c>
      <c r="D5" s="32" t="inlineStr">
        <is>
          <t>2450AT18A0100001E</t>
        </is>
      </c>
      <c r="E5" s="32" t="inlineStr">
        <is>
          <t>2450AT18A0100001E</t>
        </is>
      </c>
      <c r="F5" s="32" t="inlineStr">
        <is>
          <t>Johanson Technology</t>
        </is>
      </c>
      <c r="G5" s="32" t="inlineStr">
        <is>
          <t>C17430588</t>
        </is>
      </c>
      <c r="H5" s="32" t="inlineStr">
        <is>
          <t>1206 (3.2 x 1.6 x 1.3 mm)</t>
        </is>
      </c>
      <c r="I5" s="32" t="inlineStr">
        <is>
          <t>Chip antenna, 2.4 GHz, 0.5 dBi, 50 Ohm</t>
        </is>
      </c>
      <c r="J5" s="32" t="inlineStr">
        <is>
          <t>Top</t>
        </is>
      </c>
      <c r="K5" s="32" t="inlineStr">
        <is>
          <t>Johanson global P/N of the legacy 2450AT18A100E (same part). Left board edge, in the copper keep-out; R34 = 0R, C36 not fitted</t>
        </is>
      </c>
    </row>
    <row r="6" ht="35.05" customHeight="1" s="26">
      <c r="A6" s="33" t="n">
        <v>2</v>
      </c>
      <c r="B6" s="33" t="n">
        <v>18</v>
      </c>
      <c r="C6" s="34" t="inlineStr">
        <is>
          <t>C1, C12, C14, C15, C16, C17, C19, C21, C23, C24, C25, C26, C28, C39, C40, C41, C42, C45</t>
        </is>
      </c>
      <c r="D6" s="34" t="inlineStr">
        <is>
          <t>100nF</t>
        </is>
      </c>
      <c r="E6" s="34" t="inlineStr">
        <is>
          <t>CL05B104KO5NNNC</t>
        </is>
      </c>
      <c r="F6" s="34" t="inlineStr">
        <is>
          <t>Samsung Electro-Mechanics</t>
        </is>
      </c>
      <c r="G6" s="34" t="inlineStr">
        <is>
          <t>C1525</t>
        </is>
      </c>
      <c r="H6" s="34" t="inlineStr">
        <is>
          <t>0402 (1005 metric)</t>
        </is>
      </c>
      <c r="I6" s="34" t="inlineStr">
        <is>
          <t>Capacitor, MLCC, 100 nF, 16 V, X7R, 10%</t>
        </is>
      </c>
      <c r="J6" s="34" t="inlineStr">
        <is>
          <t>Bottom</t>
        </is>
      </c>
      <c r="K6" s="34" t="inlineStr">
        <is>
          <t>Decoupling (MCU, sensors, NRST). JLC Basic part (replaces Murata GRM155R71C104KA88D)</t>
        </is>
      </c>
    </row>
    <row r="7" ht="23.85" customHeight="1" s="26">
      <c r="A7" s="31" t="n">
        <v>3</v>
      </c>
      <c r="B7" s="31" t="n">
        <v>2</v>
      </c>
      <c r="C7" s="32" t="inlineStr">
        <is>
          <t>C2, C47</t>
        </is>
      </c>
      <c r="D7" s="32" t="inlineStr">
        <is>
          <t>4.7uF 50V</t>
        </is>
      </c>
      <c r="E7" s="32" t="inlineStr">
        <is>
          <t>1206B475K500NT</t>
        </is>
      </c>
      <c r="F7" s="32" t="inlineStr">
        <is>
          <t>FH (Guangdong Fenghua)</t>
        </is>
      </c>
      <c r="G7" s="32" t="inlineStr">
        <is>
          <t>C29823</t>
        </is>
      </c>
      <c r="H7" s="32" t="inlineStr">
        <is>
          <t>1206 (3216 metric), h 1.6 mm</t>
        </is>
      </c>
      <c r="I7" s="32" t="inlineStr">
        <is>
          <t>Capacitor, MLCC, 4.7 uF, 50 V, X7R, 10%</t>
        </is>
      </c>
      <c r="J7" s="32" t="inlineStr">
        <is>
          <t>Top</t>
        </is>
      </c>
      <c r="K7" s="32" t="inlineStr">
        <is>
          <t>VBAT (up to 6S): buck input (C47), ESC link A (C2). JLC Basic part</t>
        </is>
      </c>
    </row>
    <row r="8" ht="23.85" customHeight="1" s="26">
      <c r="A8" s="33" t="n">
        <v>4</v>
      </c>
      <c r="B8" s="33" t="n">
        <v>1</v>
      </c>
      <c r="C8" s="34" t="inlineStr">
        <is>
          <t>C6</t>
        </is>
      </c>
      <c r="D8" s="34" t="inlineStr">
        <is>
          <t>100uF 6.3V</t>
        </is>
      </c>
      <c r="E8" s="34" t="inlineStr">
        <is>
          <t>CL31A107MQHNNNE</t>
        </is>
      </c>
      <c r="F8" s="34" t="inlineStr">
        <is>
          <t>Samsung Electro-Mechanics</t>
        </is>
      </c>
      <c r="G8" s="34" t="inlineStr">
        <is>
          <t>C15008</t>
        </is>
      </c>
      <c r="H8" s="34" t="inlineStr">
        <is>
          <t>1206 (3216 metric), h 1.6 mm</t>
        </is>
      </c>
      <c r="I8" s="34" t="inlineStr">
        <is>
          <t>Capacitor, MLCC, 100 uF, 6.3 V, X5R, 20%</t>
        </is>
      </c>
      <c r="J8" s="34" t="inlineStr">
        <is>
          <t>Top</t>
        </is>
      </c>
      <c r="K8" s="34" t="inlineStr">
        <is>
          <t>Buck output (VREG). Replaces Murata GRM31CR60J107ME39L</t>
        </is>
      </c>
    </row>
    <row r="9" ht="23.85" customHeight="1" s="26">
      <c r="A9" s="31" t="n">
        <v>5</v>
      </c>
      <c r="B9" s="31" t="n">
        <v>1</v>
      </c>
      <c r="C9" s="32" t="inlineStr">
        <is>
          <t>C7</t>
        </is>
      </c>
      <c r="D9" s="32" t="inlineStr">
        <is>
          <t>4.7uF</t>
        </is>
      </c>
      <c r="E9" s="32" t="inlineStr">
        <is>
          <t>CL10A475KO8NNNC</t>
        </is>
      </c>
      <c r="F9" s="32" t="inlineStr">
        <is>
          <t>Samsung Electro-Mechanics</t>
        </is>
      </c>
      <c r="G9" s="32" t="inlineStr">
        <is>
          <t>C19666</t>
        </is>
      </c>
      <c r="H9" s="32" t="inlineStr">
        <is>
          <t>0603 (1608 metric), h 0.8 mm</t>
        </is>
      </c>
      <c r="I9" s="32" t="inlineStr">
        <is>
          <t>Capacitor, MLCC, 4.7 uF, 16 V, X5R, 10%</t>
        </is>
      </c>
      <c r="J9" s="32" t="inlineStr">
        <is>
          <t>Top</t>
        </is>
      </c>
      <c r="K9" s="32" t="inlineStr">
        <is>
          <t>VSYS (C7) and MCU VDD bulk (C9). JLC Basic part, 16 V rating (replaces Murata GRM188R61A475KE15D)</t>
        </is>
      </c>
    </row>
    <row r="10" ht="23.85" customHeight="1" s="26">
      <c r="A10" s="33" t="n">
        <v>6</v>
      </c>
      <c r="B10" s="33" t="n">
        <v>1</v>
      </c>
      <c r="C10" s="34" t="inlineStr">
        <is>
          <t>C8</t>
        </is>
      </c>
      <c r="D10" s="34" t="inlineStr">
        <is>
          <t>1uF</t>
        </is>
      </c>
      <c r="E10" s="34" t="inlineStr">
        <is>
          <t>CL05A105KA5NQNC</t>
        </is>
      </c>
      <c r="F10" s="34" t="inlineStr">
        <is>
          <t>Samsung Electro-Mechanics</t>
        </is>
      </c>
      <c r="G10" s="34" t="inlineStr">
        <is>
          <t>C52923</t>
        </is>
      </c>
      <c r="H10" s="34" t="inlineStr">
        <is>
          <t>0402 (1005 metric)</t>
        </is>
      </c>
      <c r="I10" s="34" t="inlineStr">
        <is>
          <t>Capacitor, MLCC, 1 uF, 25 V, X5R, 10%</t>
        </is>
      </c>
      <c r="J10" s="34" t="inlineStr">
        <is>
          <t>Top</t>
        </is>
      </c>
      <c r="K10" s="34" t="inlineStr">
        <is>
          <t>LDO output (C8), VDDA (C22). JLC Basic part (replaces Murata GRM155R61A105KE15D)</t>
        </is>
      </c>
    </row>
    <row r="11" ht="23.85" customHeight="1" s="26">
      <c r="A11" s="31" t="n">
        <v>7</v>
      </c>
      <c r="B11" s="31" t="n">
        <v>1</v>
      </c>
      <c r="C11" s="32" t="inlineStr">
        <is>
          <t>C9</t>
        </is>
      </c>
      <c r="D11" s="32" t="inlineStr">
        <is>
          <t>4.7uF</t>
        </is>
      </c>
      <c r="E11" s="32" t="inlineStr">
        <is>
          <t>CL10A475KO8NNNC</t>
        </is>
      </c>
      <c r="F11" s="32" t="inlineStr">
        <is>
          <t>Samsung Electro-Mechanics</t>
        </is>
      </c>
      <c r="G11" s="32" t="inlineStr">
        <is>
          <t>C19666</t>
        </is>
      </c>
      <c r="H11" s="32" t="inlineStr">
        <is>
          <t>0603 (1608 metric), h 0.8 mm</t>
        </is>
      </c>
      <c r="I11" s="32" t="inlineStr">
        <is>
          <t>Capacitor, MLCC, 4.7 uF, 16 V, X5R, 10%</t>
        </is>
      </c>
      <c r="J11" s="32" t="inlineStr">
        <is>
          <t>Bottom</t>
        </is>
      </c>
      <c r="K11" s="32" t="inlineStr">
        <is>
          <t>VSYS (C7) and MCU VDD bulk (C9). JLC Basic part, 16 V rating (replaces Murata GRM188R61A475KE15D)</t>
        </is>
      </c>
    </row>
    <row r="12" ht="23.85" customHeight="1" s="26">
      <c r="A12" s="33" t="n">
        <v>8</v>
      </c>
      <c r="B12" s="33" t="n">
        <v>1</v>
      </c>
      <c r="C12" s="34" t="inlineStr">
        <is>
          <t>C18</t>
        </is>
      </c>
      <c r="D12" s="34" t="inlineStr">
        <is>
          <t>220nF</t>
        </is>
      </c>
      <c r="E12" s="34" t="inlineStr">
        <is>
          <t>CL05B224KO5NNNC</t>
        </is>
      </c>
      <c r="F12" s="34" t="inlineStr">
        <is>
          <t>Samsung Electro-Mechanics</t>
        </is>
      </c>
      <c r="G12" s="34" t="inlineStr">
        <is>
          <t>C16772</t>
        </is>
      </c>
      <c r="H12" s="34" t="inlineStr">
        <is>
          <t>0402 (1005 metric)</t>
        </is>
      </c>
      <c r="I12" s="34" t="inlineStr">
        <is>
          <t>Capacitor, MLCC, 220 nF, 16 V, X7R, 10%</t>
        </is>
      </c>
      <c r="J12" s="34" t="inlineStr">
        <is>
          <t>Bottom</t>
        </is>
      </c>
      <c r="K12" s="34" t="inlineStr">
        <is>
          <t>IIS2MDC C1 (ESR &lt; 200 mOhm). Replaces Murata GRM155R71C224KA12D</t>
        </is>
      </c>
    </row>
    <row r="13" ht="23.85" customHeight="1" s="26">
      <c r="A13" s="31" t="n">
        <v>9</v>
      </c>
      <c r="B13" s="31" t="n">
        <v>1</v>
      </c>
      <c r="C13" s="32" t="inlineStr">
        <is>
          <t>C20</t>
        </is>
      </c>
      <c r="D13" s="32" t="inlineStr">
        <is>
          <t>10uF 6.3V</t>
        </is>
      </c>
      <c r="E13" s="32" t="inlineStr">
        <is>
          <t>CL10A106KP8NNNC</t>
        </is>
      </c>
      <c r="F13" s="32" t="inlineStr">
        <is>
          <t>Samsung Electro-Mechanics</t>
        </is>
      </c>
      <c r="G13" s="32" t="inlineStr">
        <is>
          <t>C19702</t>
        </is>
      </c>
      <c r="H13" s="32" t="inlineStr">
        <is>
          <t>0603 (1608 metric), h 0.8 mm</t>
        </is>
      </c>
      <c r="I13" s="32" t="inlineStr">
        <is>
          <t>Capacitor, MLCC, 10 uF, 10 V, X5R, 10%</t>
        </is>
      </c>
      <c r="J13" s="32" t="inlineStr">
        <is>
          <t>Bottom</t>
        </is>
      </c>
      <c r="K13" s="32" t="inlineStr">
        <is>
          <t>VDD bulk, bottom side. JLC Basic part, 10 V rating (replaces Murata GRM188R60J106ME47D)</t>
        </is>
      </c>
    </row>
    <row r="14" ht="23.85" customHeight="1" s="26">
      <c r="A14" s="33" t="n">
        <v>10</v>
      </c>
      <c r="B14" s="33" t="n">
        <v>2</v>
      </c>
      <c r="C14" s="34" t="inlineStr">
        <is>
          <t>C22, C43</t>
        </is>
      </c>
      <c r="D14" s="34" t="inlineStr">
        <is>
          <t>1uF</t>
        </is>
      </c>
      <c r="E14" s="34" t="inlineStr">
        <is>
          <t>CL05A105KA5NQNC</t>
        </is>
      </c>
      <c r="F14" s="34" t="inlineStr">
        <is>
          <t>Samsung Electro-Mechanics</t>
        </is>
      </c>
      <c r="G14" s="34" t="inlineStr">
        <is>
          <t>C52923</t>
        </is>
      </c>
      <c r="H14" s="34" t="inlineStr">
        <is>
          <t>0402 (1005 metric)</t>
        </is>
      </c>
      <c r="I14" s="34" t="inlineStr">
        <is>
          <t>Capacitor, MLCC, 1 uF, 25 V, X5R, 10%</t>
        </is>
      </c>
      <c r="J14" s="34" t="inlineStr">
        <is>
          <t>Bottom</t>
        </is>
      </c>
      <c r="K14" s="34" t="inlineStr">
        <is>
          <t>LDO output (C8), VDDA (C22). JLC Basic part (replaces Murata GRM155R61A105KE15D)</t>
        </is>
      </c>
    </row>
    <row r="15" ht="23.85" customHeight="1" s="26">
      <c r="A15" s="31" t="n">
        <v>11</v>
      </c>
      <c r="B15" s="31" t="n">
        <v>1</v>
      </c>
      <c r="C15" s="32" t="inlineStr">
        <is>
          <t>C27</t>
        </is>
      </c>
      <c r="D15" s="32" t="inlineStr">
        <is>
          <t>100pF</t>
        </is>
      </c>
      <c r="E15" s="32" t="inlineStr">
        <is>
          <t>0402CG101J500NT</t>
        </is>
      </c>
      <c r="F15" s="32" t="inlineStr">
        <is>
          <t>FH (Guangdong Fenghua)</t>
        </is>
      </c>
      <c r="G15" s="32" t="inlineStr">
        <is>
          <t>C1546</t>
        </is>
      </c>
      <c r="H15" s="32" t="inlineStr">
        <is>
          <t>0402 (1005 metric)</t>
        </is>
      </c>
      <c r="I15" s="32" t="inlineStr">
        <is>
          <t>Capacitor, MLCC, 100 pF, 50 V, C0G, 5%</t>
        </is>
      </c>
      <c r="J15" s="32" t="inlineStr">
        <is>
          <t>Bottom</t>
        </is>
      </c>
      <c r="K15" s="32" t="inlineStr">
        <is>
          <t>VDDRF high-frequency decoupling. JLC Basic part (replaces Murata GRM1555C1H101JA01D)</t>
        </is>
      </c>
    </row>
    <row r="16" ht="23.85" customHeight="1" s="26">
      <c r="A16" s="33" t="n">
        <v>12</v>
      </c>
      <c r="B16" s="33" t="n">
        <v>1</v>
      </c>
      <c r="C16" s="34" t="inlineStr">
        <is>
          <t>C29</t>
        </is>
      </c>
      <c r="D16" s="34" t="inlineStr">
        <is>
          <t>4.7uF</t>
        </is>
      </c>
      <c r="E16" s="34" t="inlineStr">
        <is>
          <t>CL05A475MP5NRNC</t>
        </is>
      </c>
      <c r="F16" s="34" t="inlineStr">
        <is>
          <t>Samsung Electro-Mechanics</t>
        </is>
      </c>
      <c r="G16" s="34" t="inlineStr">
        <is>
          <t>C23733</t>
        </is>
      </c>
      <c r="H16" s="34" t="inlineStr">
        <is>
          <t>0402 (1005 metric)</t>
        </is>
      </c>
      <c r="I16" s="34" t="inlineStr">
        <is>
          <t>Capacitor, MLCC, 4.7 uF, 10 V, X5R, 20%</t>
        </is>
      </c>
      <c r="J16" s="34" t="inlineStr">
        <is>
          <t>Bottom</t>
        </is>
      </c>
      <c r="K16" s="34" t="inlineStr">
        <is>
          <t>SMPS output (VFBSMPS). Replaces Murata GRM155R61A475MEAAD</t>
        </is>
      </c>
    </row>
    <row r="17" ht="23.85" customHeight="1" s="26">
      <c r="A17" s="31" t="n">
        <v>13</v>
      </c>
      <c r="B17" s="31" t="n">
        <v>1</v>
      </c>
      <c r="C17" s="32" t="inlineStr">
        <is>
          <t>C44</t>
        </is>
      </c>
      <c r="D17" s="32" t="inlineStr">
        <is>
          <t>2.2uF</t>
        </is>
      </c>
      <c r="E17" s="32" t="inlineStr">
        <is>
          <t>CL05A225MQ5NSNC</t>
        </is>
      </c>
      <c r="F17" s="32" t="inlineStr">
        <is>
          <t>Samsung Electro-Mechanics</t>
        </is>
      </c>
      <c r="G17" s="32" t="inlineStr">
        <is>
          <t>C12530</t>
        </is>
      </c>
      <c r="H17" s="32" t="inlineStr">
        <is>
          <t>0402 (1005 metric)</t>
        </is>
      </c>
      <c r="I17" s="32" t="inlineStr">
        <is>
          <t>Capacitor, MLCC, 2.2 uF, 6.3 V, X5R, 20%</t>
        </is>
      </c>
      <c r="J17" s="32" t="inlineStr">
        <is>
          <t>Bottom</t>
        </is>
      </c>
      <c r="K17" s="32" t="inlineStr">
        <is>
          <t>Expansion LDO output (VEXP). JLC Basic part</t>
        </is>
      </c>
    </row>
    <row r="18" ht="23.85" customHeight="1" s="26">
      <c r="A18" s="33" t="n">
        <v>14</v>
      </c>
      <c r="B18" s="33" t="n">
        <v>1</v>
      </c>
      <c r="C18" s="34" t="inlineStr">
        <is>
          <t>C46</t>
        </is>
      </c>
      <c r="D18" s="34" t="inlineStr">
        <is>
          <t>22uF 25V</t>
        </is>
      </c>
      <c r="E18" s="34" t="inlineStr">
        <is>
          <t>CL21A226MAQNNNE</t>
        </is>
      </c>
      <c r="F18" s="34" t="inlineStr">
        <is>
          <t>Samsung Electro-Mechanics</t>
        </is>
      </c>
      <c r="G18" s="34" t="inlineStr">
        <is>
          <t>C45783</t>
        </is>
      </c>
      <c r="H18" s="34" t="inlineStr">
        <is>
          <t>0805 (2012 metric), h 1.25 mm</t>
        </is>
      </c>
      <c r="I18" s="34" t="inlineStr">
        <is>
          <t>Capacitor, MLCC, 22 uF, 25 V, X5R, 20%</t>
        </is>
      </c>
      <c r="J18" s="34" t="inlineStr">
        <is>
          <t>Top</t>
        </is>
      </c>
      <c r="K18" s="34" t="inlineStr">
        <is>
          <t>Buck output (with C6). JLC Basic part</t>
        </is>
      </c>
    </row>
    <row r="19" ht="23.85" customHeight="1" s="26">
      <c r="A19" s="31" t="n">
        <v>15</v>
      </c>
      <c r="B19" s="31" t="n">
        <v>1</v>
      </c>
      <c r="C19" s="32" t="inlineStr">
        <is>
          <t>C49</t>
        </is>
      </c>
      <c r="D19" s="32" t="inlineStr">
        <is>
          <t>10nF</t>
        </is>
      </c>
      <c r="E19" s="32" t="inlineStr">
        <is>
          <t>CL05B103KB5NNNC</t>
        </is>
      </c>
      <c r="F19" s="32" t="inlineStr">
        <is>
          <t>Samsung Electro-Mechanics</t>
        </is>
      </c>
      <c r="G19" s="32" t="inlineStr">
        <is>
          <t>C15195</t>
        </is>
      </c>
      <c r="H19" s="32" t="inlineStr">
        <is>
          <t>0402 (1005 metric)</t>
        </is>
      </c>
      <c r="I19" s="32" t="inlineStr">
        <is>
          <t>Capacitor, MLCC, 10 nF, 50 V, X7R, 10%</t>
        </is>
      </c>
      <c r="J19" s="32" t="inlineStr">
        <is>
          <t>Top</t>
        </is>
      </c>
      <c r="K19" s="32" t="inlineStr">
        <is>
          <t>-. JLC Basic part</t>
        </is>
      </c>
    </row>
    <row r="20" ht="23.85" customHeight="1" s="26">
      <c r="A20" s="33" t="n">
        <v>16</v>
      </c>
      <c r="B20" s="33" t="n">
        <v>4</v>
      </c>
      <c r="C20" s="34" t="inlineStr">
        <is>
          <t>D1, D2, D3, D4</t>
        </is>
      </c>
      <c r="D20" s="34" t="inlineStr">
        <is>
          <t>WS2812B-2020</t>
        </is>
      </c>
      <c r="E20" s="34" t="inlineStr">
        <is>
          <t>WS2812B-2020</t>
        </is>
      </c>
      <c r="F20" s="34" t="inlineStr">
        <is>
          <t>Worldsemi</t>
        </is>
      </c>
      <c r="G20" s="34" t="inlineStr">
        <is>
          <t>C965555</t>
        </is>
      </c>
      <c r="H20" s="34" t="inlineStr">
        <is>
          <t>2.0 x 2.0 x 0.84 mm, 4 pad</t>
        </is>
      </c>
      <c r="I20" s="34" t="inlineStr">
        <is>
          <t>LED, RGB addressable, integrated driver, 2.0 x 2.0 mm</t>
        </is>
      </c>
      <c r="J20" s="34" t="inlineStr">
        <is>
          <t>Top</t>
        </is>
      </c>
      <c r="K20" s="34" t="inlineStr">
        <is>
          <t>Status LEDs: D1 front, D2 rear, one chain from PB6 (TIM16_CH1N + DMA)</t>
        </is>
      </c>
    </row>
    <row r="21" ht="15" customHeight="1" s="26">
      <c r="A21" s="31" t="n">
        <v>17</v>
      </c>
      <c r="B21" s="31" t="n">
        <v>1</v>
      </c>
      <c r="C21" s="32" t="inlineStr">
        <is>
          <t>D9</t>
        </is>
      </c>
      <c r="D21" s="32" t="inlineStr">
        <is>
          <t>PMEG2010AEH</t>
        </is>
      </c>
      <c r="E21" s="32" t="inlineStr">
        <is>
          <t>PMEG2010AEH,115</t>
        </is>
      </c>
      <c r="F21" s="32" t="inlineStr">
        <is>
          <t>Nexperia</t>
        </is>
      </c>
      <c r="G21" s="32" t="inlineStr">
        <is>
          <t>C110921</t>
        </is>
      </c>
      <c r="H21" s="32" t="inlineStr">
        <is>
          <t>SOD-123F</t>
        </is>
      </c>
      <c r="I21" s="32" t="inlineStr">
        <is>
          <t>Diode, Schottky, 20 V, 1 A, Vf ~0.35 V</t>
        </is>
      </c>
      <c r="J21" s="32" t="inlineStr">
        <is>
          <t>Top</t>
        </is>
      </c>
      <c r="K21" s="32" t="inlineStr">
        <is>
          <t>USB VBUS -&gt; VSYS</t>
        </is>
      </c>
    </row>
    <row r="22" ht="23.85" customHeight="1" s="26">
      <c r="A22" s="33" t="n">
        <v>18</v>
      </c>
      <c r="B22" s="33" t="n">
        <v>1</v>
      </c>
      <c r="C22" s="34" t="inlineStr">
        <is>
          <t>D11</t>
        </is>
      </c>
      <c r="D22" s="34" t="inlineStr">
        <is>
          <t>RB521S30</t>
        </is>
      </c>
      <c r="E22" s="34" t="inlineStr">
        <is>
          <t>RB521S30T1G</t>
        </is>
      </c>
      <c r="F22" s="34" t="inlineStr">
        <is>
          <t>onsemi</t>
        </is>
      </c>
      <c r="G22" s="34" t="inlineStr">
        <is>
          <t>C8523</t>
        </is>
      </c>
      <c r="H22" s="34" t="inlineStr">
        <is>
          <t>SOD-523</t>
        </is>
      </c>
      <c r="I22" s="34" t="inlineStr">
        <is>
          <t>Diode, Schottky, 30 V, 200 mA, SOD-523</t>
        </is>
      </c>
      <c r="J22" s="34" t="inlineStr">
        <is>
          <t>Bottom</t>
        </is>
      </c>
      <c r="K22" s="34" t="inlineStr">
        <is>
          <t>VSYS -&gt; VLED (keeps the LEDs below their VDD max with USB 5 V)</t>
        </is>
      </c>
    </row>
    <row r="23" ht="23.85" customHeight="1" s="26">
      <c r="A23" s="31" t="n">
        <v>19</v>
      </c>
      <c r="B23" s="31" t="n">
        <v>1</v>
      </c>
      <c r="C23" s="32" t="inlineStr">
        <is>
          <t>J1</t>
        </is>
      </c>
      <c r="D23" s="32" t="inlineStr">
        <is>
          <t>USB-C (HRO TYPE-C-31-M-12)</t>
        </is>
      </c>
      <c r="E23" s="32" t="inlineStr">
        <is>
          <t>TYPE-C-31-M-12</t>
        </is>
      </c>
      <c r="F23" s="32" t="inlineStr">
        <is>
          <t>HRO (Korea Hroparts)</t>
        </is>
      </c>
      <c r="G23" s="32" t="inlineStr">
        <is>
          <t>C165948</t>
        </is>
      </c>
      <c r="H23" s="32" t="inlineStr">
        <is>
          <t>USB-C receptacle, 16 pin, SMD + THT shell</t>
        </is>
      </c>
      <c r="I23" s="32" t="inlineStr">
        <is>
          <t>Connector, USB Type-C receptacle, USB 2.0, top mount</t>
        </is>
      </c>
      <c r="J23" s="32" t="inlineStr">
        <is>
          <t>Top</t>
        </is>
      </c>
      <c r="K23" s="32" t="inlineStr">
        <is>
          <t>Mouth 0.35 mm past the right-corner chamfer</t>
        </is>
      </c>
    </row>
    <row r="24" ht="23.85" customHeight="1" s="26">
      <c r="A24" s="33" t="n">
        <v>20</v>
      </c>
      <c r="B24" s="33" t="n">
        <v>1</v>
      </c>
      <c r="C24" s="34" t="inlineStr">
        <is>
          <t>J2</t>
        </is>
      </c>
      <c r="D24" s="34" t="inlineStr">
        <is>
          <t>ESC link</t>
        </is>
      </c>
      <c r="E24" s="34" t="inlineStr">
        <is>
          <t>SM08B-SRSS-TB(LF)(SN)</t>
        </is>
      </c>
      <c r="F24" s="34" t="inlineStr">
        <is>
          <t>JST</t>
        </is>
      </c>
      <c r="G24" s="34" t="inlineStr">
        <is>
          <t>C160407</t>
        </is>
      </c>
      <c r="H24" s="34" t="inlineStr">
        <is>
          <t>JST SH 8P side entry, h 2.9 mm</t>
        </is>
      </c>
      <c r="I24" s="34" t="inlineStr">
        <is>
          <t>Connector, JST SH, 8 positions, 1.0 mm pitch, side entry</t>
        </is>
      </c>
      <c r="J24" s="34" t="inlineStr">
        <is>
          <t>Top</t>
        </is>
      </c>
      <c r="K24" s="34" t="inlineStr">
        <is>
          <t>ESC links (top side): J2 ESC A rear edge (power, CUR, M1-M4); J6 ESC B left edge (M5-M8)</t>
        </is>
      </c>
    </row>
    <row r="25" ht="23.85" customHeight="1" s="26">
      <c r="A25" s="31" t="n">
        <v>21</v>
      </c>
      <c r="B25" s="31" t="n">
        <v>2</v>
      </c>
      <c r="C25" s="32" t="inlineStr">
        <is>
          <t>J3, J4</t>
        </is>
      </c>
      <c r="D25" s="32" t="inlineStr">
        <is>
          <t>Qwiic</t>
        </is>
      </c>
      <c r="E25" s="32" t="inlineStr">
        <is>
          <t>SM04B-SRSS-TB(LF)(SN)</t>
        </is>
      </c>
      <c r="F25" s="32" t="inlineStr">
        <is>
          <t>JST</t>
        </is>
      </c>
      <c r="G25" s="32" t="inlineStr">
        <is>
          <t>C160404</t>
        </is>
      </c>
      <c r="H25" s="32" t="inlineStr">
        <is>
          <t>JST SH 4P side entry, SMD, h 2.9 mm</t>
        </is>
      </c>
      <c r="I25" s="32" t="inlineStr">
        <is>
          <t>Connector, JST SH, 4 positions, 1.0 mm pitch, side entry, SMD</t>
        </is>
      </c>
      <c r="J25" s="32" t="inlineStr">
        <is>
          <t>Top</t>
        </is>
      </c>
      <c r="K25" s="32" t="inlineStr">
        <is>
          <t>Qwiic / STEMMA QT expansion port (GPS, flow): 1 GND, 2 3.3 V, 3 SDA, 4 SCL. Qwiic / STEMMA QT expansion port</t>
        </is>
      </c>
    </row>
    <row r="26" ht="23.85" customHeight="1" s="26">
      <c r="A26" s="33" t="n">
        <v>22</v>
      </c>
      <c r="B26" s="33" t="n">
        <v>1</v>
      </c>
      <c r="C26" s="34" t="inlineStr">
        <is>
          <t>J5</t>
        </is>
      </c>
      <c r="D26" s="34" t="inlineStr">
        <is>
          <t>ELRS</t>
        </is>
      </c>
      <c r="E26" s="34" t="inlineStr">
        <is>
          <t>SM04B-SRSS-TB(LF)(SN)</t>
        </is>
      </c>
      <c r="F26" s="34" t="inlineStr">
        <is>
          <t>JST</t>
        </is>
      </c>
      <c r="G26" s="34" t="inlineStr">
        <is>
          <t>C160404</t>
        </is>
      </c>
      <c r="H26" s="34" t="inlineStr">
        <is>
          <t>JST SH 4P side entry, SMD, h 2.9 mm</t>
        </is>
      </c>
      <c r="I26" s="34" t="inlineStr">
        <is>
          <t>Connector, JST SH, 4 positions, 1.0 mm pitch, side entry, SMD</t>
        </is>
      </c>
      <c r="J26" s="34" t="inlineStr">
        <is>
          <t>Top</t>
        </is>
      </c>
      <c r="K26" s="34" t="inlineStr">
        <is>
          <t>ELRS receiver port (CRSF, USART1): 1 GND, 2 VSYS, 3 RX, 4 TX. ELRS receiver port (CRSF)</t>
        </is>
      </c>
    </row>
    <row r="27" ht="15" customHeight="1" s="26">
      <c r="A27" s="31" t="n">
        <v>23</v>
      </c>
      <c r="B27" s="31" t="n">
        <v>1</v>
      </c>
      <c r="C27" s="32" t="inlineStr">
        <is>
          <t>J6</t>
        </is>
      </c>
      <c r="D27" s="32" t="inlineStr">
        <is>
          <t>ESC link B</t>
        </is>
      </c>
      <c r="E27" s="32" t="inlineStr">
        <is>
          <t>SM08B-SRSS-TB(LF)(SN)</t>
        </is>
      </c>
      <c r="F27" s="32" t="inlineStr">
        <is>
          <t>JST</t>
        </is>
      </c>
      <c r="G27" s="32" t="inlineStr">
        <is>
          <t>C160407</t>
        </is>
      </c>
      <c r="H27" s="32" t="inlineStr">
        <is>
          <t>JST SH 8P side entry, h 2.9 mm</t>
        </is>
      </c>
      <c r="I27" s="32" t="inlineStr">
        <is>
          <t>Connector, JST SH, 8 positions, 1.0 mm pitch, side entry</t>
        </is>
      </c>
      <c r="J27" s="32" t="inlineStr">
        <is>
          <t>Top</t>
        </is>
      </c>
      <c r="K27" s="32" t="inlineStr">
        <is>
          <t>ESC link B (M5-M8), top side, left edge, mouth toward the left</t>
        </is>
      </c>
    </row>
    <row r="28" ht="35.05" customHeight="1" s="26">
      <c r="A28" s="33" t="n">
        <v>24</v>
      </c>
      <c r="B28" s="33" t="n">
        <v>1</v>
      </c>
      <c r="C28" s="34" t="inlineStr">
        <is>
          <t>L1</t>
        </is>
      </c>
      <c r="D28" s="34" t="inlineStr">
        <is>
          <t>2.2uH</t>
        </is>
      </c>
      <c r="E28" s="34" t="inlineStr">
        <is>
          <t>MPH201210S2R2MT</t>
        </is>
      </c>
      <c r="F28" s="34" t="inlineStr">
        <is>
          <t>Sunlord</t>
        </is>
      </c>
      <c r="G28" s="34" t="inlineStr">
        <is>
          <t>C55755</t>
        </is>
      </c>
      <c r="H28" s="34" t="inlineStr">
        <is>
          <t>0805 (2012 metric), h 1.0 mm</t>
        </is>
      </c>
      <c r="I28" s="34" t="inlineStr">
        <is>
          <t>Inductor, multilayer power, 2.2 uH, 20%, 420 mA, DCR 0.25 Ohm, 2.0 x 1.2 x 1.0 mm</t>
        </is>
      </c>
      <c r="J28" s="34" t="inlineStr">
        <is>
          <t>Bottom</t>
        </is>
      </c>
      <c r="K28" s="34" t="inlineStr">
        <is>
          <t>SMPS inductor for the 8 MHz SMPS clock (DS13252 table 6). SMPS inductor, 8 MHz SMPS clock; replaces Wurth 74479774222 (not at LCSC)</t>
        </is>
      </c>
    </row>
    <row r="29" ht="23.85" customHeight="1" s="26">
      <c r="A29" s="31" t="n">
        <v>25</v>
      </c>
      <c r="B29" s="31" t="n">
        <v>1</v>
      </c>
      <c r="C29" s="32" t="inlineStr">
        <is>
          <t>L2</t>
        </is>
      </c>
      <c r="D29" s="32" t="inlineStr">
        <is>
          <t>10nH</t>
        </is>
      </c>
      <c r="E29" s="32" t="inlineStr">
        <is>
          <t>LQG15HS10NJ02D</t>
        </is>
      </c>
      <c r="F29" s="32" t="inlineStr">
        <is>
          <t>Murata</t>
        </is>
      </c>
      <c r="G29" s="32" t="inlineStr">
        <is>
          <t>C77103</t>
        </is>
      </c>
      <c r="H29" s="32" t="inlineStr">
        <is>
          <t>0402 (1005 metric)</t>
        </is>
      </c>
      <c r="I29" s="32" t="inlineStr">
        <is>
          <t>Inductor, multilayer, 10 nH, 5%, 500 mA</t>
        </is>
      </c>
      <c r="J29" s="32" t="inlineStr">
        <is>
          <t>Bottom</t>
        </is>
      </c>
      <c r="K29" s="32" t="inlineStr">
        <is>
          <t>SMPS output filter, AN5290. Replaces LQG15WZ10NJ02D (same value, LCSC stocked)</t>
        </is>
      </c>
    </row>
    <row r="30" ht="23.85" customHeight="1" s="26">
      <c r="A30" s="33" t="n">
        <v>26</v>
      </c>
      <c r="B30" s="33" t="n">
        <v>1</v>
      </c>
      <c r="C30" s="34" t="inlineStr">
        <is>
          <t>L3</t>
        </is>
      </c>
      <c r="D30" s="34" t="inlineStr">
        <is>
          <t>22uH</t>
        </is>
      </c>
      <c r="E30" s="34" t="inlineStr">
        <is>
          <t>SWPA5040S220MT</t>
        </is>
      </c>
      <c r="F30" s="34" t="inlineStr">
        <is>
          <t>Sunlord</t>
        </is>
      </c>
      <c r="G30" s="34" t="inlineStr">
        <is>
          <t>C68434</t>
        </is>
      </c>
      <c r="H30" s="34" t="inlineStr">
        <is>
          <t>SMD 5 x 5 x 4 mm, shielded</t>
        </is>
      </c>
      <c r="I30" s="34" t="inlineStr">
        <is>
          <t>Inductor, shielded power, 22 uH, 20%, Irated 1.5 A, Isat 1.9 A, DCR 168 mOhm, 5 x 5 x 4 mm</t>
        </is>
      </c>
      <c r="J30" s="34" t="inlineStr">
        <is>
          <t>Top</t>
        </is>
      </c>
      <c r="K30" s="34" t="inlineStr">
        <is>
          <t>Input buck inductor (top, rear-left corner)</t>
        </is>
      </c>
    </row>
    <row r="31" ht="23.85" customHeight="1" s="26">
      <c r="A31" s="31" t="n">
        <v>27</v>
      </c>
      <c r="B31" s="31" t="n">
        <v>1</v>
      </c>
      <c r="C31" s="32" t="inlineStr">
        <is>
          <t>Q5</t>
        </is>
      </c>
      <c r="D31" s="32" t="inlineStr">
        <is>
          <t>AO3401A</t>
        </is>
      </c>
      <c r="E31" s="32" t="inlineStr">
        <is>
          <t>AO3401A</t>
        </is>
      </c>
      <c r="F31" s="32" t="inlineStr">
        <is>
          <t>Alpha &amp; Omega Semiconductor</t>
        </is>
      </c>
      <c r="G31" s="32" t="inlineStr">
        <is>
          <t>C15127</t>
        </is>
      </c>
      <c r="H31" s="32" t="inlineStr">
        <is>
          <t>SOT-23</t>
        </is>
      </c>
      <c r="I31" s="32" t="inlineStr">
        <is>
          <t>MOSFET, P-channel, 30 V, 4 A</t>
        </is>
      </c>
      <c r="J31" s="32" t="inlineStr">
        <is>
          <t>Top</t>
        </is>
      </c>
      <c r="K31" s="32" t="inlineStr">
        <is>
          <t>Battery/USB load sharing</t>
        </is>
      </c>
    </row>
    <row r="32" ht="23.85" customHeight="1" s="26">
      <c r="A32" s="33" t="n">
        <v>28</v>
      </c>
      <c r="B32" s="33" t="n">
        <v>1</v>
      </c>
      <c r="C32" s="34" t="inlineStr">
        <is>
          <t>R2</t>
        </is>
      </c>
      <c r="D32" s="34" t="inlineStr">
        <is>
          <t>100k</t>
        </is>
      </c>
      <c r="E32" s="34" t="inlineStr">
        <is>
          <t>0402WGF1003TCE</t>
        </is>
      </c>
      <c r="F32" s="34" t="inlineStr">
        <is>
          <t>UNI-ROYAL</t>
        </is>
      </c>
      <c r="G32" s="34" t="inlineStr">
        <is>
          <t>C25741</t>
        </is>
      </c>
      <c r="H32" s="34" t="inlineStr">
        <is>
          <t>0402 (1005 metric)</t>
        </is>
      </c>
      <c r="I32" s="34" t="inlineStr">
        <is>
          <t>Resistor, 100 kOhm, 1%, 1/16 W</t>
        </is>
      </c>
      <c r="J32" s="34" t="inlineStr">
        <is>
          <t>Top</t>
        </is>
      </c>
      <c r="K32" s="34" t="inlineStr">
        <is>
          <t>Q5 gate pull-down (R2), VBUS sense divider (R10, R11). JLC Basic part</t>
        </is>
      </c>
    </row>
    <row r="33" ht="15" customHeight="1" s="26">
      <c r="A33" s="31" t="n">
        <v>29</v>
      </c>
      <c r="B33" s="31" t="n">
        <v>1</v>
      </c>
      <c r="C33" s="32" t="inlineStr">
        <is>
          <t>R3</t>
        </is>
      </c>
      <c r="D33" s="32" t="inlineStr">
        <is>
          <t>287k 1%</t>
        </is>
      </c>
      <c r="E33" s="32" t="inlineStr">
        <is>
          <t>RC-02K2873FT</t>
        </is>
      </c>
      <c r="F33" s="32" t="inlineStr">
        <is>
          <t>FH (Guangdong Fenghua)</t>
        </is>
      </c>
      <c r="G33" s="32" t="inlineStr">
        <is>
          <t>C42921050</t>
        </is>
      </c>
      <c r="H33" s="32" t="inlineStr">
        <is>
          <t>0402 (1005 metric)</t>
        </is>
      </c>
      <c r="I33" s="32" t="inlineStr">
        <is>
          <t>Resistor, 287 kOhm, 1%, 1/16 W</t>
        </is>
      </c>
      <c r="J33" s="32" t="inlineStr">
        <is>
          <t>Top</t>
        </is>
      </c>
      <c r="K33" s="32" t="inlineStr">
        <is>
          <t>LDO feedback (VOUT = 3.10 V)</t>
        </is>
      </c>
    </row>
    <row r="34" ht="23.85" customHeight="1" s="26">
      <c r="A34" s="33" t="n">
        <v>30</v>
      </c>
      <c r="B34" s="33" t="n">
        <v>1</v>
      </c>
      <c r="C34" s="34" t="inlineStr">
        <is>
          <t>R4</t>
        </is>
      </c>
      <c r="D34" s="34" t="inlineStr">
        <is>
          <t>100k 1%</t>
        </is>
      </c>
      <c r="E34" s="34" t="inlineStr">
        <is>
          <t>0402WGF1003TCE</t>
        </is>
      </c>
      <c r="F34" s="34" t="inlineStr">
        <is>
          <t>UNI-ROYAL</t>
        </is>
      </c>
      <c r="G34" s="34" t="inlineStr">
        <is>
          <t>C25741</t>
        </is>
      </c>
      <c r="H34" s="34" t="inlineStr">
        <is>
          <t>0402 (1005 metric)</t>
        </is>
      </c>
      <c r="I34" s="34" t="inlineStr">
        <is>
          <t>Resistor, 100 kOhm, 1%, 1/16 W</t>
        </is>
      </c>
      <c r="J34" s="34" t="inlineStr">
        <is>
          <t>Top</t>
        </is>
      </c>
      <c r="K34" s="34" t="inlineStr">
        <is>
          <t>LDO feedback (R4), VBAT sense divider top (R8). JLC Basic part</t>
        </is>
      </c>
    </row>
    <row r="35" ht="23.85" customHeight="1" s="26">
      <c r="A35" s="31" t="n">
        <v>31</v>
      </c>
      <c r="B35" s="31" t="n">
        <v>1</v>
      </c>
      <c r="C35" s="32" t="inlineStr">
        <is>
          <t>R8</t>
        </is>
      </c>
      <c r="D35" s="32" t="inlineStr">
        <is>
          <t>100k 1%</t>
        </is>
      </c>
      <c r="E35" s="32" t="inlineStr">
        <is>
          <t>0402WGF1003TCE</t>
        </is>
      </c>
      <c r="F35" s="32" t="inlineStr">
        <is>
          <t>UNI-ROYAL</t>
        </is>
      </c>
      <c r="G35" s="32" t="inlineStr">
        <is>
          <t>C25741</t>
        </is>
      </c>
      <c r="H35" s="32" t="inlineStr">
        <is>
          <t>0402 (1005 metric)</t>
        </is>
      </c>
      <c r="I35" s="32" t="inlineStr">
        <is>
          <t>Resistor, 100 kOhm, 1%, 1/16 W</t>
        </is>
      </c>
      <c r="J35" s="32" t="inlineStr">
        <is>
          <t>Bottom</t>
        </is>
      </c>
      <c r="K35" s="32" t="inlineStr">
        <is>
          <t>LDO feedback (R4), VBAT sense divider top (R8). JLC Basic part</t>
        </is>
      </c>
    </row>
    <row r="36" ht="23.85" customHeight="1" s="26">
      <c r="A36" s="33" t="n">
        <v>32</v>
      </c>
      <c r="B36" s="33" t="n">
        <v>4</v>
      </c>
      <c r="C36" s="34" t="inlineStr">
        <is>
          <t>R9, R14, R37, R38</t>
        </is>
      </c>
      <c r="D36" s="34" t="inlineStr">
        <is>
          <t>10k</t>
        </is>
      </c>
      <c r="E36" s="34" t="inlineStr">
        <is>
          <t>0402WGF1002TCE</t>
        </is>
      </c>
      <c r="F36" s="34" t="inlineStr">
        <is>
          <t>UNI-ROYAL</t>
        </is>
      </c>
      <c r="G36" s="34" t="inlineStr">
        <is>
          <t>C25744</t>
        </is>
      </c>
      <c r="H36" s="34" t="inlineStr">
        <is>
          <t>0402 (1005 metric)</t>
        </is>
      </c>
      <c r="I36" s="34" t="inlineStr">
        <is>
          <t>Resistor, 10 kOhm, 1%, 1/16 W</t>
        </is>
      </c>
      <c r="J36" s="34" t="inlineStr">
        <is>
          <t>Bottom</t>
        </is>
      </c>
      <c r="K36" s="34" t="inlineStr">
        <is>
          <t>BOOT0 pull-down (R14), FLASH_CS / IMU_CS pull-ups (R37, R38), VBAT sense divider bottom (R9). JLC Basic part</t>
        </is>
      </c>
    </row>
    <row r="37" ht="23.85" customHeight="1" s="26">
      <c r="A37" s="31" t="n">
        <v>33</v>
      </c>
      <c r="B37" s="31" t="n">
        <v>2</v>
      </c>
      <c r="C37" s="32" t="inlineStr">
        <is>
          <t>R10, R11</t>
        </is>
      </c>
      <c r="D37" s="32" t="inlineStr">
        <is>
          <t>100k</t>
        </is>
      </c>
      <c r="E37" s="32" t="inlineStr">
        <is>
          <t>0402WGF1003TCE</t>
        </is>
      </c>
      <c r="F37" s="32" t="inlineStr">
        <is>
          <t>UNI-ROYAL</t>
        </is>
      </c>
      <c r="G37" s="32" t="inlineStr">
        <is>
          <t>C25741</t>
        </is>
      </c>
      <c r="H37" s="32" t="inlineStr">
        <is>
          <t>0402 (1005 metric)</t>
        </is>
      </c>
      <c r="I37" s="32" t="inlineStr">
        <is>
          <t>Resistor, 100 kOhm, 1%, 1/16 W</t>
        </is>
      </c>
      <c r="J37" s="32" t="inlineStr">
        <is>
          <t>Bottom</t>
        </is>
      </c>
      <c r="K37" s="32" t="inlineStr">
        <is>
          <t>Q5 gate pull-down (R2), VBUS sense divider (R10, R11). JLC Basic part</t>
        </is>
      </c>
    </row>
    <row r="38" ht="15" customHeight="1" s="26">
      <c r="A38" s="33" t="n">
        <v>34</v>
      </c>
      <c r="B38" s="33" t="n">
        <v>2</v>
      </c>
      <c r="C38" s="34" t="inlineStr">
        <is>
          <t>R12, R13</t>
        </is>
      </c>
      <c r="D38" s="34" t="inlineStr">
        <is>
          <t>5.1k</t>
        </is>
      </c>
      <c r="E38" s="34" t="inlineStr">
        <is>
          <t>0402WGF5101TCE</t>
        </is>
      </c>
      <c r="F38" s="34" t="inlineStr">
        <is>
          <t>UNI-ROYAL</t>
        </is>
      </c>
      <c r="G38" s="34" t="inlineStr">
        <is>
          <t>C25905</t>
        </is>
      </c>
      <c r="H38" s="34" t="inlineStr">
        <is>
          <t>0402 (1005 metric)</t>
        </is>
      </c>
      <c r="I38" s="34" t="inlineStr">
        <is>
          <t>Resistor, 5.1 kOhm, 1%, 1/16 W</t>
        </is>
      </c>
      <c r="J38" s="34" t="inlineStr">
        <is>
          <t>Bottom</t>
        </is>
      </c>
      <c r="K38" s="34" t="inlineStr">
        <is>
          <t>USB-C CC pull-downs. JLC Basic part</t>
        </is>
      </c>
    </row>
    <row r="39" ht="15" customHeight="1" s="26">
      <c r="A39" s="31" t="n">
        <v>35</v>
      </c>
      <c r="B39" s="31" t="n">
        <v>2</v>
      </c>
      <c r="C39" s="32" t="inlineStr">
        <is>
          <t>R15, R16</t>
        </is>
      </c>
      <c r="D39" s="32" t="inlineStr">
        <is>
          <t>2.2k</t>
        </is>
      </c>
      <c r="E39" s="32" t="inlineStr">
        <is>
          <t>0402WGF2201TCE</t>
        </is>
      </c>
      <c r="F39" s="32" t="inlineStr">
        <is>
          <t>UNI-ROYAL</t>
        </is>
      </c>
      <c r="G39" s="32" t="inlineStr">
        <is>
          <t>C25879</t>
        </is>
      </c>
      <c r="H39" s="32" t="inlineStr">
        <is>
          <t>0402 (1005 metric)</t>
        </is>
      </c>
      <c r="I39" s="32" t="inlineStr">
        <is>
          <t>Resistor, 2.2 kOhm, 1%, 1/16 W</t>
        </is>
      </c>
      <c r="J39" s="32" t="inlineStr">
        <is>
          <t>Bottom</t>
        </is>
      </c>
      <c r="K39" s="32" t="inlineStr">
        <is>
          <t>I2C1 pull-ups. JLC Basic part</t>
        </is>
      </c>
    </row>
    <row r="40" ht="15" customHeight="1" s="26">
      <c r="A40" s="33" t="n">
        <v>36</v>
      </c>
      <c r="B40" s="33" t="n">
        <v>2</v>
      </c>
      <c r="C40" s="34" t="inlineStr">
        <is>
          <t>R17, R18</t>
        </is>
      </c>
      <c r="D40" s="34" t="inlineStr">
        <is>
          <t>4.7k</t>
        </is>
      </c>
      <c r="E40" s="34" t="inlineStr">
        <is>
          <t>0402WGF4701TCE</t>
        </is>
      </c>
      <c r="F40" s="34" t="inlineStr">
        <is>
          <t>UNI-ROYAL</t>
        </is>
      </c>
      <c r="G40" s="34" t="inlineStr">
        <is>
          <t>C25900</t>
        </is>
      </c>
      <c r="H40" s="34" t="inlineStr">
        <is>
          <t>0402 (1005 metric)</t>
        </is>
      </c>
      <c r="I40" s="34" t="inlineStr">
        <is>
          <t>Resistor, 4.7 kOhm, 1%, 1/16 W</t>
        </is>
      </c>
      <c r="J40" s="34" t="inlineStr">
        <is>
          <t>Bottom</t>
        </is>
      </c>
      <c r="K40" s="34" t="inlineStr">
        <is>
          <t>Sensor hub pull-ups. JLC Basic part</t>
        </is>
      </c>
    </row>
    <row r="41" ht="23.85" customHeight="1" s="26">
      <c r="A41" s="31" t="n">
        <v>37</v>
      </c>
      <c r="B41" s="31" t="n">
        <v>9</v>
      </c>
      <c r="C41" s="32" t="inlineStr">
        <is>
          <t>R20, R21, R22, R23, R24, R25, R26, R27, R28</t>
        </is>
      </c>
      <c r="D41" s="32" t="inlineStr">
        <is>
          <t>100R</t>
        </is>
      </c>
      <c r="E41" s="32" t="inlineStr">
        <is>
          <t>0402WGF1000TCE</t>
        </is>
      </c>
      <c r="F41" s="32" t="inlineStr">
        <is>
          <t>UNI-ROYAL</t>
        </is>
      </c>
      <c r="G41" s="32" t="inlineStr">
        <is>
          <t>C25076</t>
        </is>
      </c>
      <c r="H41" s="32" t="inlineStr">
        <is>
          <t>0402 (1005 metric)</t>
        </is>
      </c>
      <c r="I41" s="32" t="inlineStr">
        <is>
          <t>Resistor, 100 Ohm, 1%, 1/16 W</t>
        </is>
      </c>
      <c r="J41" s="32" t="inlineStr">
        <is>
          <t>Bottom</t>
        </is>
      </c>
      <c r="K41" s="32" t="inlineStr">
        <is>
          <t>ESC link series resistors (M1-M8, TLM). JLC Basic part</t>
        </is>
      </c>
    </row>
    <row r="42" ht="23.85" customHeight="1" s="26">
      <c r="A42" s="33" t="n">
        <v>38</v>
      </c>
      <c r="B42" s="33" t="n">
        <v>1</v>
      </c>
      <c r="C42" s="34" t="inlineStr">
        <is>
          <t>R34</t>
        </is>
      </c>
      <c r="D42" s="34" t="inlineStr">
        <is>
          <t>0R</t>
        </is>
      </c>
      <c r="E42" s="34" t="inlineStr">
        <is>
          <t>0402WGF0000TCE</t>
        </is>
      </c>
      <c r="F42" s="34" t="inlineStr">
        <is>
          <t>UNI-ROYAL</t>
        </is>
      </c>
      <c r="G42" s="34" t="inlineStr">
        <is>
          <t>C17168</t>
        </is>
      </c>
      <c r="H42" s="34" t="inlineStr">
        <is>
          <t>0402 (1005 metric)</t>
        </is>
      </c>
      <c r="I42" s="34" t="inlineStr">
        <is>
          <t>Resistor, 0 Ohm jumper, 1/16 W</t>
        </is>
      </c>
      <c r="J42" s="34" t="inlineStr">
        <is>
          <t>Top</t>
        </is>
      </c>
      <c r="K42" s="34" t="inlineStr">
        <is>
          <t>Antenna tuning, series position (replace with L/C after tuning). JLC Basic part</t>
        </is>
      </c>
    </row>
    <row r="43" ht="15" customHeight="1" s="26">
      <c r="A43" s="31" t="n">
        <v>39</v>
      </c>
      <c r="B43" s="31" t="n">
        <v>1</v>
      </c>
      <c r="C43" s="32" t="inlineStr">
        <is>
          <t>R39</t>
        </is>
      </c>
      <c r="D43" s="32" t="inlineStr">
        <is>
          <t>33R</t>
        </is>
      </c>
      <c r="E43" s="32" t="inlineStr">
        <is>
          <t>0402WGF330JTCE</t>
        </is>
      </c>
      <c r="F43" s="32" t="inlineStr">
        <is>
          <t>UNI-ROYAL</t>
        </is>
      </c>
      <c r="G43" s="32" t="inlineStr">
        <is>
          <t>C25105</t>
        </is>
      </c>
      <c r="H43" s="32" t="inlineStr">
        <is>
          <t>0402 (1005 metric)</t>
        </is>
      </c>
      <c r="I43" s="32" t="inlineStr">
        <is>
          <t>Resistor, 33 Ohm, 1%, 1/16 W</t>
        </is>
      </c>
      <c r="J43" s="32" t="inlineStr">
        <is>
          <t>Bottom</t>
        </is>
      </c>
      <c r="K43" s="32" t="inlineStr">
        <is>
          <t>RGB data line series resistor. JLC Basic part</t>
        </is>
      </c>
    </row>
    <row r="44" ht="15" customHeight="1" s="26">
      <c r="A44" s="33" t="n">
        <v>40</v>
      </c>
      <c r="B44" s="33" t="n">
        <v>1</v>
      </c>
      <c r="C44" s="34" t="inlineStr">
        <is>
          <t>R40</t>
        </is>
      </c>
      <c r="D44" s="34" t="inlineStr">
        <is>
          <t>47k 1%</t>
        </is>
      </c>
      <c r="E44" s="34" t="inlineStr">
        <is>
          <t>0402WGF4702TCE</t>
        </is>
      </c>
      <c r="F44" s="34" t="inlineStr">
        <is>
          <t>UNI-ROYAL</t>
        </is>
      </c>
      <c r="G44" s="34" t="inlineStr">
        <is>
          <t>C25819</t>
        </is>
      </c>
      <c r="H44" s="34" t="inlineStr">
        <is>
          <t>0402 (1005 metric)</t>
        </is>
      </c>
      <c r="I44" s="34" t="inlineStr">
        <is>
          <t>Resistor, 47 kOhm, 1%, 1/16 W</t>
        </is>
      </c>
      <c r="J44" s="34" t="inlineStr">
        <is>
          <t>Bottom</t>
        </is>
      </c>
      <c r="K44" s="34" t="inlineStr">
        <is>
          <t>VEXP divider, top. JLC Basic part</t>
        </is>
      </c>
    </row>
    <row r="45" ht="15" customHeight="1" s="26">
      <c r="A45" s="31" t="n">
        <v>41</v>
      </c>
      <c r="B45" s="31" t="n">
        <v>1</v>
      </c>
      <c r="C45" s="32" t="inlineStr">
        <is>
          <t>R41</t>
        </is>
      </c>
      <c r="D45" s="32" t="inlineStr">
        <is>
          <t>15k 1%</t>
        </is>
      </c>
      <c r="E45" s="32" t="inlineStr">
        <is>
          <t>0402WGF1502TCE</t>
        </is>
      </c>
      <c r="F45" s="32" t="inlineStr">
        <is>
          <t>UNI-ROYAL</t>
        </is>
      </c>
      <c r="G45" s="32" t="inlineStr">
        <is>
          <t>C25756</t>
        </is>
      </c>
      <c r="H45" s="32" t="inlineStr">
        <is>
          <t>0402 (1005 metric)</t>
        </is>
      </c>
      <c r="I45" s="32" t="inlineStr">
        <is>
          <t>Resistor, 15 kOhm, 1%, 1/16 W</t>
        </is>
      </c>
      <c r="J45" s="32" t="inlineStr">
        <is>
          <t>Bottom</t>
        </is>
      </c>
      <c r="K45" s="32" t="inlineStr">
        <is>
          <t>VEXP divider, bottom. JLC Basic part</t>
        </is>
      </c>
    </row>
    <row r="46" ht="15" customHeight="1" s="26">
      <c r="A46" s="33" t="n">
        <v>42</v>
      </c>
      <c r="B46" s="33" t="n">
        <v>1</v>
      </c>
      <c r="C46" s="34" t="inlineStr">
        <is>
          <t>R42</t>
        </is>
      </c>
      <c r="D46" s="34" t="inlineStr">
        <is>
          <t>1k</t>
        </is>
      </c>
      <c r="E46" s="34" t="inlineStr">
        <is>
          <t>0402WGF1001TCE</t>
        </is>
      </c>
      <c r="F46" s="34" t="inlineStr">
        <is>
          <t>UNI-ROYAL</t>
        </is>
      </c>
      <c r="G46" s="34" t="inlineStr">
        <is>
          <t>C11702</t>
        </is>
      </c>
      <c r="H46" s="34" t="inlineStr">
        <is>
          <t>0402 (1005 metric)</t>
        </is>
      </c>
      <c r="I46" s="34" t="inlineStr">
        <is>
          <t>Resistor, 1 kOhm, 1%, 1/16 W</t>
        </is>
      </c>
      <c r="J46" s="34" t="inlineStr">
        <is>
          <t>Bottom</t>
        </is>
      </c>
      <c r="K46" s="34" t="inlineStr">
        <is>
          <t>ADC RC on ESC_CUR (R42). JLC Basic part</t>
        </is>
      </c>
    </row>
    <row r="47" ht="15" customHeight="1" s="26">
      <c r="A47" s="31" t="n">
        <v>43</v>
      </c>
      <c r="B47" s="31" t="n">
        <v>1</v>
      </c>
      <c r="C47" s="32" t="inlineStr">
        <is>
          <t>R47</t>
        </is>
      </c>
      <c r="D47" s="32" t="inlineStr">
        <is>
          <t>470k 1%</t>
        </is>
      </c>
      <c r="E47" s="32" t="inlineStr">
        <is>
          <t>0402WGF4703TCE</t>
        </is>
      </c>
      <c r="F47" s="32" t="inlineStr">
        <is>
          <t>UNI-ROYAL</t>
        </is>
      </c>
      <c r="G47" s="32" t="inlineStr">
        <is>
          <t>C25790</t>
        </is>
      </c>
      <c r="H47" s="32" t="inlineStr">
        <is>
          <t>0402 (1005 metric)</t>
        </is>
      </c>
      <c r="I47" s="32" t="inlineStr">
        <is>
          <t>Resistor, 470 kOhm, 1%, 1/16 W</t>
        </is>
      </c>
      <c r="J47" s="32" t="inlineStr">
        <is>
          <t>Top</t>
        </is>
      </c>
      <c r="K47" s="32" t="inlineStr">
        <is>
          <t>VBAT sense divider. JLC Basic part</t>
        </is>
      </c>
    </row>
    <row r="48" ht="15" customHeight="1" s="26">
      <c r="A48" s="33" t="n">
        <v>44</v>
      </c>
      <c r="B48" s="33" t="n">
        <v>1</v>
      </c>
      <c r="C48" s="34" t="inlineStr">
        <is>
          <t>R48</t>
        </is>
      </c>
      <c r="D48" s="34" t="inlineStr">
        <is>
          <t>200k 1%</t>
        </is>
      </c>
      <c r="E48" s="34" t="inlineStr">
        <is>
          <t>0402WGF2003TCE</t>
        </is>
      </c>
      <c r="F48" s="34" t="inlineStr">
        <is>
          <t>UNI-ROYAL</t>
        </is>
      </c>
      <c r="G48" s="34" t="inlineStr">
        <is>
          <t>C25764</t>
        </is>
      </c>
      <c r="H48" s="34" t="inlineStr">
        <is>
          <t>0402 (1005 metric)</t>
        </is>
      </c>
      <c r="I48" s="34" t="inlineStr">
        <is>
          <t>Resistor, 200 kOhm, 1%, 1/16 W</t>
        </is>
      </c>
      <c r="J48" s="34" t="inlineStr">
        <is>
          <t>Top</t>
        </is>
      </c>
      <c r="K48" s="34" t="inlineStr">
        <is>
          <t>Buck feedback, bottom. JLC Basic part</t>
        </is>
      </c>
    </row>
    <row r="49" ht="23.85" customHeight="1" s="26">
      <c r="A49" s="31" t="n">
        <v>45</v>
      </c>
      <c r="B49" s="31" t="n">
        <v>1</v>
      </c>
      <c r="C49" s="32" t="inlineStr">
        <is>
          <t>U1</t>
        </is>
      </c>
      <c r="D49" s="32" t="inlineStr">
        <is>
          <t>LSM6DSV16X</t>
        </is>
      </c>
      <c r="E49" s="32" t="inlineStr">
        <is>
          <t>LSM6DSV16XTR</t>
        </is>
      </c>
      <c r="F49" s="32" t="inlineStr">
        <is>
          <t>STMicroelectronics</t>
        </is>
      </c>
      <c r="G49" s="32" t="inlineStr">
        <is>
          <t>C5267406</t>
        </is>
      </c>
      <c r="H49" s="32" t="inlineStr">
        <is>
          <t>LGA-14, 2.5 x 3 x 0.83 mm</t>
        </is>
      </c>
      <c r="I49" s="32" t="inlineStr">
        <is>
          <t>IMU, 6-axis (accelerometer + gyroscope), I2C/I3C/SPI, sensor hub</t>
        </is>
      </c>
      <c r="J49" s="32" t="inlineStr">
        <is>
          <t>Top</t>
        </is>
      </c>
      <c r="K49" s="32" t="inlineStr">
        <is>
          <t>Board centre; rev E: on SPI1 (CS PB0), shared with the log flash</t>
        </is>
      </c>
    </row>
    <row r="50" ht="23.85" customHeight="1" s="26">
      <c r="A50" s="33" t="n">
        <v>46</v>
      </c>
      <c r="B50" s="33" t="n">
        <v>1</v>
      </c>
      <c r="C50" s="34" t="inlineStr">
        <is>
          <t>U2</t>
        </is>
      </c>
      <c r="D50" s="34" t="inlineStr">
        <is>
          <t>STM32WB55CGU6</t>
        </is>
      </c>
      <c r="E50" s="34" t="inlineStr">
        <is>
          <t>STM32WB55CGU6</t>
        </is>
      </c>
      <c r="F50" s="34" t="inlineStr">
        <is>
          <t>STMicroelectronics</t>
        </is>
      </c>
      <c r="G50" s="34" t="inlineStr">
        <is>
          <t>C404023</t>
        </is>
      </c>
      <c r="H50" s="34" t="inlineStr">
        <is>
          <t>UFQFPN-48, 7 x 7 x 0.55 mm, EP 5.6 mm</t>
        </is>
      </c>
      <c r="I50" s="34" t="inlineStr">
        <is>
          <t>MCU, Cortex-M4 + M0+ radio core, BLE 5 / 802.15.4, 1 MB flash, 256 KB RAM, SMPS</t>
        </is>
      </c>
      <c r="J50" s="34" t="inlineStr">
        <is>
          <t>Top</t>
        </is>
      </c>
      <c r="K50" s="34" t="inlineStr">
        <is>
          <t>EP to GND through a 3x3 via array</t>
        </is>
      </c>
    </row>
    <row r="51" ht="23.85" customHeight="1" s="26">
      <c r="A51" s="31" t="n">
        <v>47</v>
      </c>
      <c r="B51" s="31" t="n">
        <v>1</v>
      </c>
      <c r="C51" s="32" t="inlineStr">
        <is>
          <t>U3</t>
        </is>
      </c>
      <c r="D51" s="32" t="inlineStr">
        <is>
          <t>IIS2MDC</t>
        </is>
      </c>
      <c r="E51" s="32" t="inlineStr">
        <is>
          <t>IIS2MDCTR</t>
        </is>
      </c>
      <c r="F51" s="32" t="inlineStr">
        <is>
          <t>STMicroelectronics</t>
        </is>
      </c>
      <c r="G51" s="32" t="inlineStr">
        <is>
          <t>C2655002</t>
        </is>
      </c>
      <c r="H51" s="32" t="inlineStr">
        <is>
          <t>LGA-12, 2 x 2 x 0.7 mm</t>
        </is>
      </c>
      <c r="I51" s="32" t="inlineStr">
        <is>
          <t>Magnetometer, 3-axis, +-50 gauss, 16 bit, I2C/SPI, industrial grade (LIS2MDL-compatible)</t>
        </is>
      </c>
      <c r="J51" s="32" t="inlineStr">
        <is>
          <t>Top</t>
        </is>
      </c>
      <c r="K51" s="32" t="inlineStr">
        <is>
          <t>Front corner; read through the LSM6DSV16X sensor hub, address 0x1E</t>
        </is>
      </c>
    </row>
    <row r="52" ht="35.05" customHeight="1" s="26">
      <c r="A52" s="33" t="n">
        <v>48</v>
      </c>
      <c r="B52" s="33" t="n">
        <v>1</v>
      </c>
      <c r="C52" s="34" t="inlineStr">
        <is>
          <t>U4</t>
        </is>
      </c>
      <c r="D52" s="34" t="inlineStr">
        <is>
          <t>LPS22HB</t>
        </is>
      </c>
      <c r="E52" s="34" t="inlineStr">
        <is>
          <t>LPS22HBTR</t>
        </is>
      </c>
      <c r="F52" s="34" t="inlineStr">
        <is>
          <t>STMicroelectronics</t>
        </is>
      </c>
      <c r="G52" s="34" t="inlineStr">
        <is>
          <t>C94049</t>
        </is>
      </c>
      <c r="H52" s="34" t="inlineStr">
        <is>
          <t>HLGA-10, 2 x 2 x 0.76 mm</t>
        </is>
      </c>
      <c r="I52" s="34" t="inlineStr">
        <is>
          <t>Pressure sensor (barometer), 260-1260 hPa, I2C/SPI</t>
        </is>
      </c>
      <c r="J52" s="34" t="inlineStr">
        <is>
          <t>Top</t>
        </is>
      </c>
      <c r="K52" s="34" t="inlineStr">
        <is>
          <t>Altitude hold; address 0x5D. Keep the vent hole clear. Out of stock at LCSC/JLC on 2026-10-16: use JLC Global Sourcing or send your own parts (consigned)</t>
        </is>
      </c>
    </row>
    <row r="53" ht="15" customHeight="1" s="26">
      <c r="A53" s="31" t="n">
        <v>49</v>
      </c>
      <c r="B53" s="31" t="n">
        <v>1</v>
      </c>
      <c r="C53" s="32" t="inlineStr">
        <is>
          <t>U5</t>
        </is>
      </c>
      <c r="D53" s="32" t="inlineStr">
        <is>
          <t>LD39130SPUR</t>
        </is>
      </c>
      <c r="E53" s="32" t="inlineStr">
        <is>
          <t>LD39130SPUR</t>
        </is>
      </c>
      <c r="F53" s="32" t="inlineStr">
        <is>
          <t>STMicroelectronics</t>
        </is>
      </c>
      <c r="G53" s="32" t="inlineStr">
        <is>
          <t>C2798213</t>
        </is>
      </c>
      <c r="H53" s="32" t="inlineStr">
        <is>
          <t>DFN-6, 1.2 x 1.3 mm</t>
        </is>
      </c>
      <c r="I53" s="32" t="inlineStr">
        <is>
          <t>LDO regulator, adjustable, 300 mA, 1 uA quiescent</t>
        </is>
      </c>
      <c r="J53" s="32" t="inlineStr">
        <is>
          <t>Top</t>
        </is>
      </c>
      <c r="K53" s="32" t="inlineStr">
        <is>
          <t>Set to 3.10 V by R3/R4</t>
        </is>
      </c>
    </row>
    <row r="54" ht="15" customHeight="1" s="26">
      <c r="A54" s="33" t="n">
        <v>50</v>
      </c>
      <c r="B54" s="33" t="n">
        <v>1</v>
      </c>
      <c r="C54" s="34" t="inlineStr">
        <is>
          <t>U7</t>
        </is>
      </c>
      <c r="D54" s="34" t="inlineStr">
        <is>
          <t>USBLC6-2SC6</t>
        </is>
      </c>
      <c r="E54" s="34" t="inlineStr">
        <is>
          <t>USBLC6-2SC6</t>
        </is>
      </c>
      <c r="F54" s="34" t="inlineStr">
        <is>
          <t>STMicroelectronics</t>
        </is>
      </c>
      <c r="G54" s="34" t="inlineStr">
        <is>
          <t>C7519</t>
        </is>
      </c>
      <c r="H54" s="34" t="inlineStr">
        <is>
          <t>SOT-23-6</t>
        </is>
      </c>
      <c r="I54" s="34" t="inlineStr">
        <is>
          <t>ESD protection, 2-line, low capacitance, for USB 2.0</t>
        </is>
      </c>
      <c r="J54" s="34" t="inlineStr">
        <is>
          <t>Top</t>
        </is>
      </c>
      <c r="K54" s="34" t="inlineStr">
        <is>
          <t>Next to the USB-C connector</t>
        </is>
      </c>
    </row>
    <row r="55" ht="23.85" customHeight="1" s="26">
      <c r="A55" s="31" t="n">
        <v>51</v>
      </c>
      <c r="B55" s="31" t="n">
        <v>1</v>
      </c>
      <c r="C55" s="32" t="inlineStr">
        <is>
          <t>U8</t>
        </is>
      </c>
      <c r="D55" s="32" t="inlineStr">
        <is>
          <t>MLPF-WB55-01E3</t>
        </is>
      </c>
      <c r="E55" s="32" t="inlineStr">
        <is>
          <t>MLPF-WB55-01E3</t>
        </is>
      </c>
      <c r="F55" s="32" t="inlineStr">
        <is>
          <t>STMicroelectronics</t>
        </is>
      </c>
      <c r="G55" s="32" t="inlineStr">
        <is>
          <t>C2651048</t>
        </is>
      </c>
      <c r="H55" s="32" t="inlineStr">
        <is>
          <t>CSP-6 (bumps), 1.0 x 1.6 mm approx., pitch 0.5 mm</t>
        </is>
      </c>
      <c r="I55" s="32" t="inlineStr">
        <is>
          <t>2.4 GHz low-pass filter with integrated impedance matching for STM32WB55 RF1</t>
        </is>
      </c>
      <c r="J55" s="32" t="inlineStr">
        <is>
          <t>Top</t>
        </is>
      </c>
      <c r="K55" s="32" t="inlineStr">
        <is>
          <t>Between U2 RF1 and the antenna feed (AN5290 IPD BoM)</t>
        </is>
      </c>
    </row>
    <row r="56" ht="23.85" customHeight="1" s="26">
      <c r="A56" s="33" t="n">
        <v>52</v>
      </c>
      <c r="B56" s="33" t="n">
        <v>1</v>
      </c>
      <c r="C56" s="34" t="inlineStr">
        <is>
          <t>U10</t>
        </is>
      </c>
      <c r="D56" s="34" t="inlineStr">
        <is>
          <t>W25Q128JV</t>
        </is>
      </c>
      <c r="E56" s="34" t="inlineStr">
        <is>
          <t>W25Q128JVPIQ</t>
        </is>
      </c>
      <c r="F56" s="34" t="inlineStr">
        <is>
          <t>Winbond</t>
        </is>
      </c>
      <c r="G56" s="34" t="inlineStr">
        <is>
          <t>C190862</t>
        </is>
      </c>
      <c r="H56" s="34" t="inlineStr">
        <is>
          <t>WSON-8, 6 x 5 x 0.75 mm</t>
        </is>
      </c>
      <c r="I56" s="34" t="inlineStr">
        <is>
          <t>NOR flash, 128 Mbit (16 MB), SPI/QSPI 133 MHz, WSON-8 6x5 mm</t>
        </is>
      </c>
      <c r="J56" s="34" t="inlineStr">
        <is>
          <t>Bottom</t>
        </is>
      </c>
      <c r="K56" s="34" t="inlineStr">
        <is>
          <t>Flight log (blackbox); SPI1, CS PE4; bottom side</t>
        </is>
      </c>
    </row>
    <row r="57" ht="23.85" customHeight="1" s="26">
      <c r="A57" s="31" t="n">
        <v>53</v>
      </c>
      <c r="B57" s="31" t="n">
        <v>1</v>
      </c>
      <c r="C57" s="32" t="inlineStr">
        <is>
          <t>U11</t>
        </is>
      </c>
      <c r="D57" s="32" t="inlineStr">
        <is>
          <t>LDK130PU-R</t>
        </is>
      </c>
      <c r="E57" s="32" t="inlineStr">
        <is>
          <t>LDK130PU-R</t>
        </is>
      </c>
      <c r="F57" s="32" t="inlineStr">
        <is>
          <t>STMicroelectronics</t>
        </is>
      </c>
      <c r="G57" s="32" t="inlineStr">
        <is>
          <t>C157446</t>
        </is>
      </c>
      <c r="H57" s="32" t="inlineStr">
        <is>
          <t>DFN-6, 1.2 x 1.3 mm</t>
        </is>
      </c>
      <c r="I57" s="32" t="inlineStr">
        <is>
          <t>LDO, adjustable 0.8-5.1 V, 300 mA, DFN-6 1.2 x 1.3 mm</t>
        </is>
      </c>
      <c r="J57" s="32" t="inlineStr">
        <is>
          <t>Bottom</t>
        </is>
      </c>
      <c r="K57" s="32" t="inlineStr">
        <is>
          <t>Expansion bus 3.3 V (VEXP), set to 3.31 V by R40/R41. Set to 3.31 V by R40/R41 (47k/15k)</t>
        </is>
      </c>
    </row>
    <row r="58" ht="23.85" customHeight="1" s="26">
      <c r="A58" s="33" t="n">
        <v>54</v>
      </c>
      <c r="B58" s="33" t="n">
        <v>1</v>
      </c>
      <c r="C58" s="34" t="inlineStr">
        <is>
          <t>U12</t>
        </is>
      </c>
      <c r="D58" s="34" t="inlineStr">
        <is>
          <t>LM5166DRCT</t>
        </is>
      </c>
      <c r="E58" s="34" t="inlineStr">
        <is>
          <t>LM5166DRCT</t>
        </is>
      </c>
      <c r="F58" s="34" t="inlineStr">
        <is>
          <t>Texas Instruments</t>
        </is>
      </c>
      <c r="G58" s="34" t="inlineStr">
        <is>
          <t>C181495</t>
        </is>
      </c>
      <c r="H58" s="34" t="inlineStr">
        <is>
          <t>VSON-10 (DRC), 3 x 3 mm</t>
        </is>
      </c>
      <c r="I58" s="34" t="inlineStr">
        <is>
          <t>Step-down converter, 3-65 V in, 500 mA, PFET high side (100% duty cycle), VSON-10 3x3</t>
        </is>
      </c>
      <c r="J58" s="34" t="inlineStr">
        <is>
          <t>Top</t>
        </is>
      </c>
      <c r="K58" s="34" t="inlineStr">
        <is>
          <t>1S-6S input buck: VREG = 4.1 V (about VBAT on 1S). 350 in stock at LCSC on 2026-10-18: check before ordering</t>
        </is>
      </c>
    </row>
    <row r="59" ht="57.45" customHeight="1" s="26">
      <c r="A59" s="31" t="n">
        <v>55</v>
      </c>
      <c r="B59" s="31" t="n">
        <v>1</v>
      </c>
      <c r="C59" s="32" t="inlineStr">
        <is>
          <t>Y1</t>
        </is>
      </c>
      <c r="D59" s="32" t="inlineStr">
        <is>
          <t>32MHz</t>
        </is>
      </c>
      <c r="E59" s="32" t="inlineStr">
        <is>
          <t>NX2016SA-32MHZ-STD-CZS-5</t>
        </is>
      </c>
      <c r="F59" s="32" t="inlineStr">
        <is>
          <t>NDK</t>
        </is>
      </c>
      <c r="G59" s="32" t="inlineStr">
        <is>
          <t>C843260</t>
        </is>
      </c>
      <c r="H59" s="32" t="inlineStr">
        <is>
          <t>SMD 2016, 4 pad, 2.0 x 1.6 mm</t>
        </is>
      </c>
      <c r="I59" s="32" t="inlineStr">
        <is>
          <t>Crystal, 32 MHz, 8 pF, +-10 ppm, SMD 2016, HSE for the STM32WB radio</t>
        </is>
      </c>
      <c r="J59" s="32" t="inlineStr">
        <is>
          <t>Top</t>
        </is>
      </c>
      <c r="K59" s="32" t="inlineStr">
        <is>
          <t>No load capacitors: internal HSE trimming (AN5042). Also the RF wake-up (HSE/1024) and RTC (HSE/32) clock: no LSE. Same NDK NX2016SA family and load capacitance (8 pF) as the ST-listed EXS00A-CS06654; no load capacitors (internal HSE trimming)</t>
        </is>
      </c>
    </row>
    <row r="60" ht="15" customHeight="1" s="26">
      <c r="A60" s="29" t="n"/>
      <c r="B60" s="29" t="n"/>
      <c r="C60" s="29" t="n"/>
      <c r="D60" s="29" t="n"/>
      <c r="E60" s="29" t="n"/>
      <c r="F60" s="29" t="n"/>
      <c r="G60" s="29" t="n"/>
      <c r="H60" s="29" t="n"/>
      <c r="I60" s="29" t="n"/>
      <c r="J60" s="29" t="n"/>
      <c r="K60" s="29" t="n"/>
    </row>
    <row r="61" ht="23.85" customHeight="1" s="26">
      <c r="A61" s="35" t="inlineStr">
        <is>
          <t>Total</t>
        </is>
      </c>
      <c r="B61" s="36">
        <f>SUM(B5:B59)</f>
        <v/>
      </c>
      <c r="C61" s="35" t="inlineStr">
        <is>
          <t>Total placements (assembled parts)</t>
        </is>
      </c>
      <c r="D61" s="35" t="inlineStr">
        <is>
          <t>-</t>
        </is>
      </c>
      <c r="E61" s="37">
        <f>COUNTA(E5:E59)</f>
        <v/>
      </c>
      <c r="F61" s="35" t="inlineStr">
        <is>
          <t>line items (unique MPN / side)</t>
        </is>
      </c>
      <c r="G61" s="35" t="inlineStr">
        <is>
          <t>-</t>
        </is>
      </c>
      <c r="H61" s="35" t="inlineStr">
        <is>
          <t>-</t>
        </is>
      </c>
      <c r="I61" s="35" t="inlineStr">
        <is>
          <t>-</t>
        </is>
      </c>
      <c r="J61" s="35" t="inlineStr">
        <is>
          <t>-</t>
        </is>
      </c>
      <c r="K61" s="35" t="inlineStr">
        <is>
          <t>Not-assembled items listed below</t>
        </is>
      </c>
    </row>
    <row r="62" ht="15" customHeight="1" s="26">
      <c r="A62" s="29" t="n"/>
      <c r="B62" s="29" t="n"/>
      <c r="C62" s="29" t="n"/>
      <c r="D62" s="29" t="n"/>
      <c r="E62" s="29" t="n"/>
      <c r="F62" s="29" t="n"/>
      <c r="G62" s="29" t="n"/>
      <c r="H62" s="29" t="n"/>
      <c r="I62" s="29" t="n"/>
      <c r="J62" s="29" t="n"/>
      <c r="K62" s="29" t="n"/>
    </row>
    <row r="63" ht="15" customHeight="1" s="26">
      <c r="A63" s="38" t="inlineStr">
        <is>
          <t>Not assembled (PCB features / off-board)</t>
        </is>
      </c>
    </row>
    <row r="64" ht="23.85" customHeight="1" s="26">
      <c r="A64" s="39" t="inlineStr">
        <is>
          <t>Item</t>
        </is>
      </c>
      <c r="B64" s="39" t="inlineStr">
        <is>
          <t>Quantity</t>
        </is>
      </c>
      <c r="C64" s="39" t="inlineStr">
        <is>
          <t>Part Reference</t>
        </is>
      </c>
      <c r="D64" s="39" t="inlineStr">
        <is>
          <t>Value</t>
        </is>
      </c>
      <c r="E64" s="39" t="inlineStr">
        <is>
          <t>MPN</t>
        </is>
      </c>
      <c r="F64" s="39" t="inlineStr">
        <is>
          <t>Manufacturer</t>
        </is>
      </c>
      <c r="G64" s="39" t="inlineStr">
        <is>
          <t>LCSC / JLCPCB #</t>
        </is>
      </c>
      <c r="H64" s="39" t="inlineStr">
        <is>
          <t>Package</t>
        </is>
      </c>
      <c r="I64" s="39" t="inlineStr">
        <is>
          <t>Description</t>
        </is>
      </c>
      <c r="J64" s="39" t="inlineStr">
        <is>
          <t>Side</t>
        </is>
      </c>
      <c r="K64" s="39" t="inlineStr">
        <is>
          <t>Notes</t>
        </is>
      </c>
    </row>
    <row r="65" ht="35.05" customHeight="1" s="26">
      <c r="A65" s="31" t="inlineStr">
        <is>
          <t>NA1</t>
        </is>
      </c>
      <c r="B65" s="31" t="n">
        <v>8</v>
      </c>
      <c r="C65" s="32" t="inlineStr">
        <is>
          <t>TP1, TP2, TP3, TP4, TP5, TP6, TP7, TP8</t>
        </is>
      </c>
      <c r="D65" s="32" t="inlineStr">
        <is>
          <t>pogo pad</t>
        </is>
      </c>
      <c r="E65" s="32" t="inlineStr">
        <is>
          <t>N/A (PCB feature)</t>
        </is>
      </c>
      <c r="F65" s="32" t="inlineStr">
        <is>
          <t>N/A</t>
        </is>
      </c>
      <c r="G65" s="32" t="inlineStr">
        <is>
          <t>N/A</t>
        </is>
      </c>
      <c r="H65" s="32" t="inlineStr">
        <is>
          <t>TestPoint_Pad_D1.0mm: 1.0 mm round SMD pad</t>
        </is>
      </c>
      <c r="I65" s="32" t="inlineStr">
        <is>
          <t>Programming / debug pads, 2 x 4 grid at 2.54 mm pitch</t>
        </is>
      </c>
      <c r="J65" s="32" t="inlineStr">
        <is>
          <t>Bottom</t>
        </is>
      </c>
      <c r="K65" s="32" t="inlineStr">
        <is>
          <t>Row 1: SWDIO, SWCLK, NRST, BOOT0; row 2: VDD, GND, CRSF_TX, CRSF_RX (USART1, PB6/PB7). Use a 2.54 mm pogo-pin fixture</t>
        </is>
      </c>
    </row>
    <row r="66" ht="35.05" customHeight="1" s="26">
      <c r="A66" s="31" t="inlineStr">
        <is>
          <t>NA2</t>
        </is>
      </c>
      <c r="B66" s="31" t="n">
        <v>2</v>
      </c>
      <c r="C66" s="32" t="inlineStr">
        <is>
          <t>J7, J8</t>
        </is>
      </c>
      <c r="D66" s="32" t="inlineStr">
        <is>
          <t>solder pad</t>
        </is>
      </c>
      <c r="E66" s="32" t="inlineStr">
        <is>
          <t>N/A (PCB feature)</t>
        </is>
      </c>
      <c r="F66" s="32" t="inlineStr">
        <is>
          <t>N/A</t>
        </is>
      </c>
      <c r="G66" s="32" t="inlineStr">
        <is>
          <t>N/A</t>
        </is>
      </c>
      <c r="H66" s="32" t="inlineStr">
        <is>
          <t>TestPoint_Pad_2.0x2.0mm: 2 x 2 mm SMD pad</t>
        </is>
      </c>
      <c r="I66" s="32" t="inlineStr">
        <is>
          <t>Battery / power input pads: J7 VBAT+ (1S-6S), J8 GND</t>
        </is>
      </c>
      <c r="J66" s="32" t="inlineStr">
        <is>
          <t>Top</t>
        </is>
      </c>
      <c r="K66" s="32" t="inlineStr">
        <is>
          <t>Top side, left edge. FC supply only (no motor current): for ESCs without a VBAT pin or a separate PDB. Same VBAT net as ESC link A pin 2</t>
        </is>
      </c>
    </row>
    <row r="67" ht="35.05" customHeight="1" s="26">
      <c r="A67" s="31" t="inlineStr">
        <is>
          <t>NA3</t>
        </is>
      </c>
      <c r="B67" s="31" t="n">
        <v>4</v>
      </c>
      <c r="C67" s="32" t="inlineStr">
        <is>
          <t>H1, H2, H3, H4</t>
        </is>
      </c>
      <c r="D67" s="32" t="inlineStr">
        <is>
          <t>D3.2 PTH</t>
        </is>
      </c>
      <c r="E67" s="32" t="inlineStr">
        <is>
          <t>N/A (PCB feature)</t>
        </is>
      </c>
      <c r="F67" s="32" t="inlineStr">
        <is>
          <t>N/A</t>
        </is>
      </c>
      <c r="G67" s="32" t="inlineStr">
        <is>
          <t>N/A</t>
        </is>
      </c>
      <c r="H67" s="32" t="inlineStr">
        <is>
          <t>Grommet_PTH_3.2mm_Pad5.0mm: plated 3.2 mm hole, 5.0 mm ring</t>
        </is>
      </c>
      <c r="I67" s="32" t="inlineStr">
        <is>
          <t>Mounting holes for M2 anti-vibration grommets, 20 x 20 mm pattern</t>
        </is>
      </c>
      <c r="J67" s="32" t="inlineStr">
        <is>
          <t>Both (plated through)</t>
        </is>
      </c>
      <c r="K67" s="32" t="inlineStr">
        <is>
          <t>Exposed 5.0 mm GND copper ring on both sides (grommet seat). Grommets supplied with the frame</t>
        </is>
      </c>
    </row>
    <row r="68" ht="23.85" customHeight="1" s="26">
      <c r="A68" s="31" t="inlineStr">
        <is>
          <t>NA4</t>
        </is>
      </c>
      <c r="B68" s="31" t="n">
        <v>1</v>
      </c>
      <c r="C68" s="32" t="inlineStr">
        <is>
          <t>C36</t>
        </is>
      </c>
      <c r="D68" s="32" t="inlineStr">
        <is>
          <t>DNP</t>
        </is>
      </c>
      <c r="E68" s="32" t="inlineStr">
        <is>
          <t>TBD after VNA tuning (C0G capacitor or chip inductor)</t>
        </is>
      </c>
      <c r="F68" s="32" t="inlineStr">
        <is>
          <t>Murata (GRM1555C1H C0G or LQG15HS series)</t>
        </is>
      </c>
      <c r="G68" s="32" t="inlineStr">
        <is>
          <t>-</t>
        </is>
      </c>
      <c r="H68" s="32" t="inlineStr">
        <is>
          <t>0402 (1005 metric)</t>
        </is>
      </c>
      <c r="I68" s="32" t="inlineStr">
        <is>
          <t>Antenna tuning, shunt position at the antenna side</t>
        </is>
      </c>
      <c r="J68" s="32" t="inlineStr">
        <is>
          <t>Top</t>
        </is>
      </c>
      <c r="K68" s="32" t="inlineStr">
        <is>
          <t>Do not populate. Fit only if the VNA measurement asks for it; R34 (series) is the other tuning spot</t>
        </is>
      </c>
    </row>
  </sheetData>
  <autoFilter ref="A4:K59"/>
  <mergeCells count="3">
    <mergeCell ref="A2:K2"/>
    <mergeCell ref="A63:K63"/>
    <mergeCell ref="A1:K1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K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25" min="1" max="1"/>
    <col width="30" customWidth="1" style="25" min="2" max="2"/>
    <col width="9" customWidth="1" style="25" min="3" max="3"/>
    <col width="26" customWidth="1" style="25" min="4" max="4"/>
    <col width="24" customWidth="1" style="25" min="5" max="5"/>
    <col width="14" customWidth="1" style="25" min="6" max="9"/>
    <col width="10" customWidth="1" style="25" min="10" max="10"/>
    <col width="52" customWidth="1" style="25" min="11" max="11"/>
  </cols>
  <sheetData>
    <row r="1" ht="16.15" customHeight="1" s="26">
      <c r="A1" s="27" t="inlineStr">
        <is>
          <t>ACwing FC rev H - component costing (assembled parts as ordered at JLCPCB, USD)</t>
        </is>
      </c>
    </row>
    <row r="2" ht="39.75" customHeight="1" s="26">
      <c r="A2" s="28" t="inlineStr">
        <is>
          <t>Prices from distributors on 2026-10-15/17 (LCSC unless noted). "Quote" = price read for that exact MPN; "Estimate" = price of an equivalent part of the same series and size. PCB fabrication, assembly, stencil, shipping and duties are not included.</t>
        </is>
      </c>
    </row>
    <row r="3" ht="15" customHeight="1" s="26">
      <c r="A3" s="29" t="n"/>
      <c r="B3" s="35" t="inlineStr">
        <is>
          <t>USD -&gt; EUR exchange rate (edit):</t>
        </is>
      </c>
      <c r="C3" s="40" t="n">
        <v>0.92</v>
      </c>
      <c r="D3" s="29" t="n"/>
      <c r="E3" s="29" t="n"/>
      <c r="F3" s="29" t="n"/>
      <c r="G3" s="29" t="n"/>
      <c r="H3" s="29" t="n"/>
      <c r="I3" s="29" t="n"/>
      <c r="J3" s="29" t="n"/>
      <c r="K3" s="29" t="n"/>
    </row>
    <row r="4" ht="15" customHeight="1" s="26">
      <c r="A4" s="29" t="n"/>
      <c r="B4" s="29" t="n"/>
      <c r="C4" s="29" t="n"/>
      <c r="D4" s="29" t="n"/>
      <c r="E4" s="29" t="n"/>
      <c r="F4" s="29" t="n"/>
      <c r="G4" s="29" t="n"/>
      <c r="H4" s="29" t="n"/>
      <c r="I4" s="29" t="n"/>
      <c r="J4" s="29" t="n"/>
      <c r="K4" s="29" t="n"/>
    </row>
    <row r="5" ht="35.05" customHeight="1" s="26">
      <c r="A5" s="30" t="inlineStr">
        <is>
          <t>Item</t>
        </is>
      </c>
      <c r="B5" s="30" t="inlineStr">
        <is>
          <t>Part Reference</t>
        </is>
      </c>
      <c r="C5" s="30" t="inlineStr">
        <is>
          <t>Qty / board</t>
        </is>
      </c>
      <c r="D5" s="30" t="inlineStr">
        <is>
          <t>MPN</t>
        </is>
      </c>
      <c r="E5" s="30" t="inlineStr">
        <is>
          <t>Source / part #</t>
        </is>
      </c>
      <c r="F5" s="30" t="inlineStr">
        <is>
          <t>Unit price @ 10 boards (USD)</t>
        </is>
      </c>
      <c r="G5" s="30" t="inlineStr">
        <is>
          <t>Cost / board @ 10 boards (USD)</t>
        </is>
      </c>
      <c r="H5" s="30" t="inlineStr">
        <is>
          <t>Unit price @ 100 boards (USD)</t>
        </is>
      </c>
      <c r="I5" s="30" t="inlineStr">
        <is>
          <t>Cost / board @ 100 boards (USD)</t>
        </is>
      </c>
      <c r="J5" s="30" t="inlineStr">
        <is>
          <t>Price basis</t>
        </is>
      </c>
      <c r="K5" s="30" t="inlineStr">
        <is>
          <t>Notes</t>
        </is>
      </c>
    </row>
    <row r="6" ht="15" customHeight="1" s="26">
      <c r="A6" s="33" t="n">
        <v>1</v>
      </c>
      <c r="B6" s="34" t="inlineStr">
        <is>
          <t>AE1</t>
        </is>
      </c>
      <c r="C6" s="33" t="n">
        <v>1</v>
      </c>
      <c r="D6" s="34" t="inlineStr">
        <is>
          <t>2450AT18A0100001E</t>
        </is>
      </c>
      <c r="E6" s="34" t="inlineStr">
        <is>
          <t>LCSC C17430588</t>
        </is>
      </c>
      <c r="F6" s="41" t="n">
        <v>0.6899999999999999</v>
      </c>
      <c r="G6" s="42">
        <f>C6*F6</f>
        <v/>
      </c>
      <c r="H6" s="41" t="n">
        <v>0.65</v>
      </c>
      <c r="I6" s="42">
        <f>C6*H6</f>
        <v/>
      </c>
      <c r="J6" s="34" t="inlineStr">
        <is>
          <t>Quote</t>
        </is>
      </c>
      <c r="K6" s="34" t="inlineStr">
        <is>
          <t>Price from the JLC BOM tool (5 boards)</t>
        </is>
      </c>
    </row>
    <row r="7" ht="35.05" customHeight="1" s="26">
      <c r="A7" s="31" t="n">
        <v>2</v>
      </c>
      <c r="B7" s="32" t="inlineStr">
        <is>
          <t>C1, C12, C14, C15, C16, C17, C19, C21, C23, C24, C25, C26, C28, C39, C40, C41, C42, C45</t>
        </is>
      </c>
      <c r="C7" s="31" t="n">
        <v>18</v>
      </c>
      <c r="D7" s="32" t="inlineStr">
        <is>
          <t>CL05B104KO5NNNC</t>
        </is>
      </c>
      <c r="E7" s="32" t="inlineStr">
        <is>
          <t>LCSC C1525 (JLC Basic)</t>
        </is>
      </c>
      <c r="F7" s="43" t="n">
        <v>0.0049</v>
      </c>
      <c r="G7" s="44">
        <f>C7*F7</f>
        <v/>
      </c>
      <c r="H7" s="43" t="n">
        <v>0.0049</v>
      </c>
      <c r="I7" s="44">
        <f>C7*H7</f>
        <v/>
      </c>
      <c r="J7" s="32" t="inlineStr">
        <is>
          <t>Quote</t>
        </is>
      </c>
      <c r="K7" s="32" t="inlineStr">
        <is>
          <t>MOQ 100</t>
        </is>
      </c>
    </row>
    <row r="8" ht="15" customHeight="1" s="26">
      <c r="A8" s="33" t="n">
        <v>3</v>
      </c>
      <c r="B8" s="34" t="inlineStr">
        <is>
          <t>C2, C47</t>
        </is>
      </c>
      <c r="C8" s="33" t="n">
        <v>2</v>
      </c>
      <c r="D8" s="34" t="inlineStr">
        <is>
          <t>1206B475K500NT</t>
        </is>
      </c>
      <c r="E8" s="34" t="inlineStr">
        <is>
          <t>LCSC C29823 (JLC Basic)</t>
        </is>
      </c>
      <c r="F8" s="41" t="n">
        <v>0.03</v>
      </c>
      <c r="G8" s="42">
        <f>C8*F8</f>
        <v/>
      </c>
      <c r="H8" s="41" t="n">
        <v>0.025</v>
      </c>
      <c r="I8" s="42">
        <f>C8*H8</f>
        <v/>
      </c>
      <c r="J8" s="34" t="inlineStr">
        <is>
          <t>Estimate</t>
        </is>
      </c>
      <c r="K8" s="34" t="inlineStr">
        <is>
          <t>-</t>
        </is>
      </c>
    </row>
    <row r="9" ht="15" customHeight="1" s="26">
      <c r="A9" s="31" t="n">
        <v>4</v>
      </c>
      <c r="B9" s="32" t="inlineStr">
        <is>
          <t>C6</t>
        </is>
      </c>
      <c r="C9" s="31" t="n">
        <v>1</v>
      </c>
      <c r="D9" s="32" t="inlineStr">
        <is>
          <t>CL31A107MQHNNNE</t>
        </is>
      </c>
      <c r="E9" s="32" t="inlineStr">
        <is>
          <t>LCSC C15008</t>
        </is>
      </c>
      <c r="F9" s="43" t="n">
        <v>0.1319</v>
      </c>
      <c r="G9" s="44">
        <f>C9*F9</f>
        <v/>
      </c>
      <c r="H9" s="43" t="n">
        <v>0.0968</v>
      </c>
      <c r="I9" s="44">
        <f>C9*H9</f>
        <v/>
      </c>
      <c r="J9" s="32" t="inlineStr">
        <is>
          <t>Quote</t>
        </is>
      </c>
      <c r="K9" s="32" t="inlineStr">
        <is>
          <t>-</t>
        </is>
      </c>
    </row>
    <row r="10" ht="15" customHeight="1" s="26">
      <c r="A10" s="33" t="n">
        <v>5</v>
      </c>
      <c r="B10" s="34" t="inlineStr">
        <is>
          <t>C7, C9</t>
        </is>
      </c>
      <c r="C10" s="33" t="n">
        <v>2</v>
      </c>
      <c r="D10" s="34" t="inlineStr">
        <is>
          <t>CL10A475KO8NNNC</t>
        </is>
      </c>
      <c r="E10" s="34" t="inlineStr">
        <is>
          <t>LCSC C19666 (JLC Basic)</t>
        </is>
      </c>
      <c r="F10" s="41" t="n">
        <v>0.0205</v>
      </c>
      <c r="G10" s="42">
        <f>C10*F10</f>
        <v/>
      </c>
      <c r="H10" s="41" t="n">
        <v>0.0159</v>
      </c>
      <c r="I10" s="42">
        <f>C10*H10</f>
        <v/>
      </c>
      <c r="J10" s="34" t="inlineStr">
        <is>
          <t>Quote</t>
        </is>
      </c>
      <c r="K10" s="34" t="inlineStr">
        <is>
          <t>-</t>
        </is>
      </c>
    </row>
    <row r="11" ht="15" customHeight="1" s="26">
      <c r="A11" s="31" t="n">
        <v>6</v>
      </c>
      <c r="B11" s="32" t="inlineStr">
        <is>
          <t>C8, C22, C43</t>
        </is>
      </c>
      <c r="C11" s="31" t="n">
        <v>3</v>
      </c>
      <c r="D11" s="32" t="inlineStr">
        <is>
          <t>CL05A105KA5NQNC</t>
        </is>
      </c>
      <c r="E11" s="32" t="inlineStr">
        <is>
          <t>LCSC C52923 (JLC Basic)</t>
        </is>
      </c>
      <c r="F11" s="43" t="n">
        <v>0.0068</v>
      </c>
      <c r="G11" s="44">
        <f>C11*F11</f>
        <v/>
      </c>
      <c r="H11" s="43" t="n">
        <v>0.0068</v>
      </c>
      <c r="I11" s="44">
        <f>C11*H11</f>
        <v/>
      </c>
      <c r="J11" s="32" t="inlineStr">
        <is>
          <t>Quote</t>
        </is>
      </c>
      <c r="K11" s="32" t="inlineStr">
        <is>
          <t>MOQ 100</t>
        </is>
      </c>
    </row>
    <row r="12" ht="15" customHeight="1" s="26">
      <c r="A12" s="33" t="n">
        <v>7</v>
      </c>
      <c r="B12" s="34" t="inlineStr">
        <is>
          <t>C18</t>
        </is>
      </c>
      <c r="C12" s="33" t="n">
        <v>1</v>
      </c>
      <c r="D12" s="34" t="inlineStr">
        <is>
          <t>CL05B224KO5NNNC</t>
        </is>
      </c>
      <c r="E12" s="34" t="inlineStr">
        <is>
          <t>LCSC C16772</t>
        </is>
      </c>
      <c r="F12" s="41" t="n">
        <v>0.0054</v>
      </c>
      <c r="G12" s="42">
        <f>C12*F12</f>
        <v/>
      </c>
      <c r="H12" s="41" t="n">
        <v>0.0054</v>
      </c>
      <c r="I12" s="42">
        <f>C12*H12</f>
        <v/>
      </c>
      <c r="J12" s="34" t="inlineStr">
        <is>
          <t>Quote</t>
        </is>
      </c>
      <c r="K12" s="34" t="inlineStr">
        <is>
          <t>-</t>
        </is>
      </c>
    </row>
    <row r="13" ht="15" customHeight="1" s="26">
      <c r="A13" s="31" t="n">
        <v>8</v>
      </c>
      <c r="B13" s="32" t="inlineStr">
        <is>
          <t>C20</t>
        </is>
      </c>
      <c r="C13" s="31" t="n">
        <v>1</v>
      </c>
      <c r="D13" s="32" t="inlineStr">
        <is>
          <t>CL10A106KP8NNNC</t>
        </is>
      </c>
      <c r="E13" s="32" t="inlineStr">
        <is>
          <t>LCSC C19702 (JLC Basic)</t>
        </is>
      </c>
      <c r="F13" s="43" t="n">
        <v>0.0287</v>
      </c>
      <c r="G13" s="44">
        <f>C13*F13</f>
        <v/>
      </c>
      <c r="H13" s="43" t="n">
        <v>0.0287</v>
      </c>
      <c r="I13" s="44">
        <f>C13*H13</f>
        <v/>
      </c>
      <c r="J13" s="32" t="inlineStr">
        <is>
          <t>Quote</t>
        </is>
      </c>
      <c r="K13" s="32" t="inlineStr">
        <is>
          <t>-</t>
        </is>
      </c>
    </row>
    <row r="14" ht="15" customHeight="1" s="26">
      <c r="A14" s="33" t="n">
        <v>9</v>
      </c>
      <c r="B14" s="34" t="inlineStr">
        <is>
          <t>C27</t>
        </is>
      </c>
      <c r="C14" s="33" t="n">
        <v>1</v>
      </c>
      <c r="D14" s="34" t="inlineStr">
        <is>
          <t>0402CG101J500NT</t>
        </is>
      </c>
      <c r="E14" s="34" t="inlineStr">
        <is>
          <t>LCSC C1546 (JLC Basic)</t>
        </is>
      </c>
      <c r="F14" s="41" t="n">
        <v>0.0032</v>
      </c>
      <c r="G14" s="42">
        <f>C14*F14</f>
        <v/>
      </c>
      <c r="H14" s="41" t="n">
        <v>0.0032</v>
      </c>
      <c r="I14" s="42">
        <f>C14*H14</f>
        <v/>
      </c>
      <c r="J14" s="34" t="inlineStr">
        <is>
          <t>Quote</t>
        </is>
      </c>
      <c r="K14" s="34" t="inlineStr">
        <is>
          <t>-</t>
        </is>
      </c>
    </row>
    <row r="15" ht="15" customHeight="1" s="26">
      <c r="A15" s="31" t="n">
        <v>10</v>
      </c>
      <c r="B15" s="32" t="inlineStr">
        <is>
          <t>C29</t>
        </is>
      </c>
      <c r="C15" s="31" t="n">
        <v>1</v>
      </c>
      <c r="D15" s="32" t="inlineStr">
        <is>
          <t>CL05A475MP5NRNC</t>
        </is>
      </c>
      <c r="E15" s="32" t="inlineStr">
        <is>
          <t>LCSC C23733</t>
        </is>
      </c>
      <c r="F15" s="43" t="n">
        <v>0.0168</v>
      </c>
      <c r="G15" s="44">
        <f>C15*F15</f>
        <v/>
      </c>
      <c r="H15" s="43" t="n">
        <v>0.0168</v>
      </c>
      <c r="I15" s="44">
        <f>C15*H15</f>
        <v/>
      </c>
      <c r="J15" s="32" t="inlineStr">
        <is>
          <t>Quote</t>
        </is>
      </c>
      <c r="K15" s="32" t="inlineStr">
        <is>
          <t>Out of stock at LCSC on 2026-10-16: check JLC stock</t>
        </is>
      </c>
    </row>
    <row r="16" ht="15" customHeight="1" s="26">
      <c r="A16" s="33" t="n">
        <v>11</v>
      </c>
      <c r="B16" s="34" t="inlineStr">
        <is>
          <t>C44</t>
        </is>
      </c>
      <c r="C16" s="33" t="n">
        <v>1</v>
      </c>
      <c r="D16" s="34" t="inlineStr">
        <is>
          <t>CL05A225MQ5NSNC</t>
        </is>
      </c>
      <c r="E16" s="34" t="inlineStr">
        <is>
          <t>LCSC C12530 (JLC Basic)</t>
        </is>
      </c>
      <c r="F16" s="41" t="n">
        <v>0.004</v>
      </c>
      <c r="G16" s="42">
        <f>C16*F16</f>
        <v/>
      </c>
      <c r="H16" s="41" t="n">
        <v>0.004</v>
      </c>
      <c r="I16" s="42">
        <f>C16*H16</f>
        <v/>
      </c>
      <c r="J16" s="34" t="inlineStr">
        <is>
          <t>Estimate</t>
        </is>
      </c>
      <c r="K16" s="34" t="inlineStr">
        <is>
          <t>-</t>
        </is>
      </c>
    </row>
    <row r="17" ht="15" customHeight="1" s="26">
      <c r="A17" s="31" t="n">
        <v>12</v>
      </c>
      <c r="B17" s="32" t="inlineStr">
        <is>
          <t>C46</t>
        </is>
      </c>
      <c r="C17" s="31" t="n">
        <v>1</v>
      </c>
      <c r="D17" s="32" t="inlineStr">
        <is>
          <t>CL21A226MAQNNNE</t>
        </is>
      </c>
      <c r="E17" s="32" t="inlineStr">
        <is>
          <t>LCSC C45783 (JLC Basic)</t>
        </is>
      </c>
      <c r="F17" s="43" t="n">
        <v>0.1953</v>
      </c>
      <c r="G17" s="44">
        <f>C17*F17</f>
        <v/>
      </c>
      <c r="H17" s="43" t="n">
        <v>0.1953</v>
      </c>
      <c r="I17" s="44">
        <f>C17*H17</f>
        <v/>
      </c>
      <c r="J17" s="32" t="inlineStr">
        <is>
          <t>Quote</t>
        </is>
      </c>
      <c r="K17" s="32" t="inlineStr">
        <is>
          <t>MOQ 20</t>
        </is>
      </c>
    </row>
    <row r="18" ht="15" customHeight="1" s="26">
      <c r="A18" s="33" t="n">
        <v>13</v>
      </c>
      <c r="B18" s="34" t="inlineStr">
        <is>
          <t>C49</t>
        </is>
      </c>
      <c r="C18" s="33" t="n">
        <v>1</v>
      </c>
      <c r="D18" s="34" t="inlineStr">
        <is>
          <t>CL05B103KB5NNNC</t>
        </is>
      </c>
      <c r="E18" s="34" t="inlineStr">
        <is>
          <t>LCSC C15195 (JLC Basic)</t>
        </is>
      </c>
      <c r="F18" s="41" t="n">
        <v>0.002</v>
      </c>
      <c r="G18" s="42">
        <f>C18*F18</f>
        <v/>
      </c>
      <c r="H18" s="41" t="n">
        <v>0.002</v>
      </c>
      <c r="I18" s="42">
        <f>C18*H18</f>
        <v/>
      </c>
      <c r="J18" s="34" t="inlineStr">
        <is>
          <t>Estimate</t>
        </is>
      </c>
      <c r="K18" s="34" t="inlineStr">
        <is>
          <t>10 nF 50 V X7R</t>
        </is>
      </c>
    </row>
    <row r="19" ht="15" customHeight="1" s="26">
      <c r="A19" s="31" t="n">
        <v>14</v>
      </c>
      <c r="B19" s="32" t="inlineStr">
        <is>
          <t>D1, D2, D3, D4</t>
        </is>
      </c>
      <c r="C19" s="31" t="n">
        <v>4</v>
      </c>
      <c r="D19" s="32" t="inlineStr">
        <is>
          <t>WS2812B-2020</t>
        </is>
      </c>
      <c r="E19" s="32" t="inlineStr">
        <is>
          <t>LCSC C965555</t>
        </is>
      </c>
      <c r="F19" s="43" t="n">
        <v>0.1</v>
      </c>
      <c r="G19" s="44">
        <f>C19*F19</f>
        <v/>
      </c>
      <c r="H19" s="43" t="n">
        <v>0.08</v>
      </c>
      <c r="I19" s="44">
        <f>C19*H19</f>
        <v/>
      </c>
      <c r="J19" s="32" t="inlineStr">
        <is>
          <t>Estimate</t>
        </is>
      </c>
      <c r="K19" s="32" t="inlineStr">
        <is>
          <t>Worldsemi RGB LED, price estimated</t>
        </is>
      </c>
    </row>
    <row r="20" ht="15" customHeight="1" s="26">
      <c r="A20" s="33" t="n">
        <v>15</v>
      </c>
      <c r="B20" s="34" t="inlineStr">
        <is>
          <t>D9</t>
        </is>
      </c>
      <c r="C20" s="33" t="n">
        <v>1</v>
      </c>
      <c r="D20" s="34" t="inlineStr">
        <is>
          <t>PMEG2010AEH,115</t>
        </is>
      </c>
      <c r="E20" s="34" t="inlineStr">
        <is>
          <t>LCSC C110921</t>
        </is>
      </c>
      <c r="F20" s="41" t="n">
        <v>0.1082</v>
      </c>
      <c r="G20" s="42">
        <f>C20*F20</f>
        <v/>
      </c>
      <c r="H20" s="41" t="n">
        <v>0.0851</v>
      </c>
      <c r="I20" s="42">
        <f>C20*H20</f>
        <v/>
      </c>
      <c r="J20" s="34" t="inlineStr">
        <is>
          <t>Quote</t>
        </is>
      </c>
      <c r="K20" s="34" t="inlineStr">
        <is>
          <t>-</t>
        </is>
      </c>
    </row>
    <row r="21" ht="15" customHeight="1" s="26">
      <c r="A21" s="31" t="n">
        <v>16</v>
      </c>
      <c r="B21" s="32" t="inlineStr">
        <is>
          <t>D11</t>
        </is>
      </c>
      <c r="C21" s="31" t="n">
        <v>1</v>
      </c>
      <c r="D21" s="32" t="inlineStr">
        <is>
          <t>RB521S30T1G</t>
        </is>
      </c>
      <c r="E21" s="32" t="inlineStr">
        <is>
          <t>LCSC C8523</t>
        </is>
      </c>
      <c r="F21" s="43" t="n">
        <v>0.03</v>
      </c>
      <c r="G21" s="44">
        <f>C21*F21</f>
        <v/>
      </c>
      <c r="H21" s="43" t="n">
        <v>0.02</v>
      </c>
      <c r="I21" s="44">
        <f>C21*H21</f>
        <v/>
      </c>
      <c r="J21" s="32" t="inlineStr">
        <is>
          <t>Estimate</t>
        </is>
      </c>
      <c r="K21" s="32" t="inlineStr">
        <is>
          <t>-</t>
        </is>
      </c>
    </row>
    <row r="22" ht="15" customHeight="1" s="26">
      <c r="A22" s="33" t="n">
        <v>17</v>
      </c>
      <c r="B22" s="34" t="inlineStr">
        <is>
          <t>J1</t>
        </is>
      </c>
      <c r="C22" s="33" t="n">
        <v>1</v>
      </c>
      <c r="D22" s="34" t="inlineStr">
        <is>
          <t>TYPE-C-31-M-12</t>
        </is>
      </c>
      <c r="E22" s="34" t="inlineStr">
        <is>
          <t>LCSC C165948</t>
        </is>
      </c>
      <c r="F22" s="41" t="n">
        <v>0.1729</v>
      </c>
      <c r="G22" s="42">
        <f>C22*F22</f>
        <v/>
      </c>
      <c r="H22" s="41" t="n">
        <v>0.1365</v>
      </c>
      <c r="I22" s="42">
        <f>C22*H22</f>
        <v/>
      </c>
      <c r="J22" s="34" t="inlineStr">
        <is>
          <t>Quote</t>
        </is>
      </c>
      <c r="K22" s="34" t="inlineStr">
        <is>
          <t>MOQ 5 pcs</t>
        </is>
      </c>
    </row>
    <row r="23" ht="15" customHeight="1" s="26">
      <c r="A23" s="31" t="n">
        <v>18</v>
      </c>
      <c r="B23" s="32" t="inlineStr">
        <is>
          <t>J2, J6</t>
        </is>
      </c>
      <c r="C23" s="31" t="n">
        <v>2</v>
      </c>
      <c r="D23" s="32" t="inlineStr">
        <is>
          <t>SM08B-SRSS-TB(LF)(SN)</t>
        </is>
      </c>
      <c r="E23" s="32" t="inlineStr">
        <is>
          <t>LCSC C160407</t>
        </is>
      </c>
      <c r="F23" s="43" t="n">
        <v>0.35</v>
      </c>
      <c r="G23" s="44">
        <f>C23*F23</f>
        <v/>
      </c>
      <c r="H23" s="43" t="n">
        <v>0.25</v>
      </c>
      <c r="I23" s="44">
        <f>C23*H23</f>
        <v/>
      </c>
      <c r="J23" s="32" t="inlineStr">
        <is>
          <t>Estimate</t>
        </is>
      </c>
      <c r="K23" s="32" t="inlineStr">
        <is>
          <t>JST SH 8P side entry (ESC link); price estimated</t>
        </is>
      </c>
    </row>
    <row r="24" ht="15" customHeight="1" s="26">
      <c r="A24" s="33" t="n">
        <v>19</v>
      </c>
      <c r="B24" s="34" t="inlineStr">
        <is>
          <t>J3, J4, J5</t>
        </is>
      </c>
      <c r="C24" s="33" t="n">
        <v>3</v>
      </c>
      <c r="D24" s="34" t="inlineStr">
        <is>
          <t>SM04B-SRSS-TB(LF)(SN)</t>
        </is>
      </c>
      <c r="E24" s="34" t="inlineStr">
        <is>
          <t>LCSC C160404</t>
        </is>
      </c>
      <c r="F24" s="41" t="n">
        <v>0.25</v>
      </c>
      <c r="G24" s="42">
        <f>C24*F24</f>
        <v/>
      </c>
      <c r="H24" s="41" t="n">
        <v>0.18</v>
      </c>
      <c r="I24" s="42">
        <f>C24*H24</f>
        <v/>
      </c>
      <c r="J24" s="34" t="inlineStr">
        <is>
          <t>Estimate</t>
        </is>
      </c>
      <c r="K24" s="34" t="inlineStr">
        <is>
          <t>JST SH 4P side entry (Qwiic, ELRS); price estimated</t>
        </is>
      </c>
    </row>
    <row r="25" ht="15" customHeight="1" s="26">
      <c r="A25" s="31" t="n">
        <v>20</v>
      </c>
      <c r="B25" s="32" t="inlineStr">
        <is>
          <t>L1</t>
        </is>
      </c>
      <c r="C25" s="31" t="n">
        <v>1</v>
      </c>
      <c r="D25" s="32" t="inlineStr">
        <is>
          <t>MPH201210S2R2MT</t>
        </is>
      </c>
      <c r="E25" s="32" t="inlineStr">
        <is>
          <t>LCSC C55755</t>
        </is>
      </c>
      <c r="F25" s="43" t="n">
        <v>0.0467</v>
      </c>
      <c r="G25" s="44">
        <f>C25*F25</f>
        <v/>
      </c>
      <c r="H25" s="43" t="n">
        <v>0.0388</v>
      </c>
      <c r="I25" s="44">
        <f>C25*H25</f>
        <v/>
      </c>
      <c r="J25" s="32" t="inlineStr">
        <is>
          <t>Quote</t>
        </is>
      </c>
      <c r="K25" s="32" t="inlineStr">
        <is>
          <t>-</t>
        </is>
      </c>
    </row>
    <row r="26" ht="15" customHeight="1" s="26">
      <c r="A26" s="33" t="n">
        <v>21</v>
      </c>
      <c r="B26" s="34" t="inlineStr">
        <is>
          <t>L2</t>
        </is>
      </c>
      <c r="C26" s="33" t="n">
        <v>1</v>
      </c>
      <c r="D26" s="34" t="inlineStr">
        <is>
          <t>LQG15HS10NJ02D</t>
        </is>
      </c>
      <c r="E26" s="34" t="inlineStr">
        <is>
          <t>LCSC C77103</t>
        </is>
      </c>
      <c r="F26" s="41" t="n">
        <v>0.0185</v>
      </c>
      <c r="G26" s="42">
        <f>C26*F26</f>
        <v/>
      </c>
      <c r="H26" s="41" t="n">
        <v>0.0185</v>
      </c>
      <c r="I26" s="42">
        <f>C26*H26</f>
        <v/>
      </c>
      <c r="J26" s="34" t="inlineStr">
        <is>
          <t>Quote</t>
        </is>
      </c>
      <c r="K26" s="34" t="inlineStr">
        <is>
          <t>MOQ 50</t>
        </is>
      </c>
    </row>
    <row r="27" ht="15" customHeight="1" s="26">
      <c r="A27" s="31" t="n">
        <v>22</v>
      </c>
      <c r="B27" s="32" t="inlineStr">
        <is>
          <t>L3</t>
        </is>
      </c>
      <c r="C27" s="31" t="n">
        <v>1</v>
      </c>
      <c r="D27" s="32" t="inlineStr">
        <is>
          <t>SWPA5040S220MT</t>
        </is>
      </c>
      <c r="E27" s="32" t="inlineStr">
        <is>
          <t>LCSC C68434</t>
        </is>
      </c>
      <c r="F27" s="43" t="n">
        <v>0.12</v>
      </c>
      <c r="G27" s="44">
        <f>C27*F27</f>
        <v/>
      </c>
      <c r="H27" s="43" t="n">
        <v>0.09</v>
      </c>
      <c r="I27" s="44">
        <f>C27*H27</f>
        <v/>
      </c>
      <c r="J27" s="32" t="inlineStr">
        <is>
          <t>Estimate</t>
        </is>
      </c>
      <c r="K27" s="32" t="inlineStr">
        <is>
          <t>Sunlord 22 uH 5x5x4, price estimated (same series)</t>
        </is>
      </c>
    </row>
    <row r="28" ht="15" customHeight="1" s="26">
      <c r="A28" s="33" t="n">
        <v>23</v>
      </c>
      <c r="B28" s="34" t="inlineStr">
        <is>
          <t>Q5</t>
        </is>
      </c>
      <c r="C28" s="33" t="n">
        <v>1</v>
      </c>
      <c r="D28" s="34" t="inlineStr">
        <is>
          <t>AO3401A</t>
        </is>
      </c>
      <c r="E28" s="34" t="inlineStr">
        <is>
          <t>LCSC C15127</t>
        </is>
      </c>
      <c r="F28" s="41" t="n">
        <v>0.1028</v>
      </c>
      <c r="G28" s="42">
        <f>C28*F28</f>
        <v/>
      </c>
      <c r="H28" s="41" t="n">
        <v>0.08309999999999999</v>
      </c>
      <c r="I28" s="42">
        <f>C28*H28</f>
        <v/>
      </c>
      <c r="J28" s="34" t="inlineStr">
        <is>
          <t>Quote</t>
        </is>
      </c>
      <c r="K28" s="34" t="inlineStr">
        <is>
          <t>MOQ 5 pcs</t>
        </is>
      </c>
    </row>
    <row r="29" ht="15" customHeight="1" s="26">
      <c r="A29" s="31" t="n">
        <v>24</v>
      </c>
      <c r="B29" s="32" t="inlineStr">
        <is>
          <t>R2, R4, R8, R10, R11</t>
        </is>
      </c>
      <c r="C29" s="31" t="n">
        <v>5</v>
      </c>
      <c r="D29" s="32" t="inlineStr">
        <is>
          <t>0402WGF1003TCE</t>
        </is>
      </c>
      <c r="E29" s="32" t="inlineStr">
        <is>
          <t>LCSC C25741 (JLC Basic)</t>
        </is>
      </c>
      <c r="F29" s="43" t="n">
        <v>0.002</v>
      </c>
      <c r="G29" s="44">
        <f>C29*F29</f>
        <v/>
      </c>
      <c r="H29" s="43" t="n">
        <v>0.002</v>
      </c>
      <c r="I29" s="44">
        <f>C29*H29</f>
        <v/>
      </c>
      <c r="J29" s="32" t="inlineStr">
        <is>
          <t>Estimate</t>
        </is>
      </c>
      <c r="K29" s="32" t="inlineStr">
        <is>
          <t>-</t>
        </is>
      </c>
    </row>
    <row r="30" ht="15" customHeight="1" s="26">
      <c r="A30" s="33" t="n">
        <v>25</v>
      </c>
      <c r="B30" s="34" t="inlineStr">
        <is>
          <t>R3</t>
        </is>
      </c>
      <c r="C30" s="33" t="n">
        <v>1</v>
      </c>
      <c r="D30" s="34" t="inlineStr">
        <is>
          <t>RC-02K2873FT</t>
        </is>
      </c>
      <c r="E30" s="34" t="inlineStr">
        <is>
          <t>LCSC C42921050</t>
        </is>
      </c>
      <c r="F30" s="41" t="n">
        <v>0.003</v>
      </c>
      <c r="G30" s="42">
        <f>C30*F30</f>
        <v/>
      </c>
      <c r="H30" s="41" t="n">
        <v>0.002</v>
      </c>
      <c r="I30" s="42">
        <f>C30*H30</f>
        <v/>
      </c>
      <c r="J30" s="34" t="inlineStr">
        <is>
          <t>Estimate</t>
        </is>
      </c>
      <c r="K30" s="34" t="inlineStr">
        <is>
          <t>-</t>
        </is>
      </c>
    </row>
    <row r="31" ht="15" customHeight="1" s="26">
      <c r="A31" s="31" t="n">
        <v>26</v>
      </c>
      <c r="B31" s="32" t="inlineStr">
        <is>
          <t>R9, R14, R37, R38</t>
        </is>
      </c>
      <c r="C31" s="31" t="n">
        <v>4</v>
      </c>
      <c r="D31" s="32" t="inlineStr">
        <is>
          <t>0402WGF1002TCE</t>
        </is>
      </c>
      <c r="E31" s="32" t="inlineStr">
        <is>
          <t>LCSC C25744 (JLC Basic)</t>
        </is>
      </c>
      <c r="F31" s="43" t="n">
        <v>0.002</v>
      </c>
      <c r="G31" s="44">
        <f>C31*F31</f>
        <v/>
      </c>
      <c r="H31" s="43" t="n">
        <v>0.002</v>
      </c>
      <c r="I31" s="44">
        <f>C31*H31</f>
        <v/>
      </c>
      <c r="J31" s="32" t="inlineStr">
        <is>
          <t>Estimate</t>
        </is>
      </c>
      <c r="K31" s="32" t="inlineStr">
        <is>
          <t>-</t>
        </is>
      </c>
    </row>
    <row r="32" ht="15" customHeight="1" s="26">
      <c r="A32" s="33" t="n">
        <v>27</v>
      </c>
      <c r="B32" s="34" t="inlineStr">
        <is>
          <t>R12, R13</t>
        </is>
      </c>
      <c r="C32" s="33" t="n">
        <v>2</v>
      </c>
      <c r="D32" s="34" t="inlineStr">
        <is>
          <t>0402WGF5101TCE</t>
        </is>
      </c>
      <c r="E32" s="34" t="inlineStr">
        <is>
          <t>LCSC C25905 (JLC Basic)</t>
        </is>
      </c>
      <c r="F32" s="41" t="n">
        <v>0.002</v>
      </c>
      <c r="G32" s="42">
        <f>C32*F32</f>
        <v/>
      </c>
      <c r="H32" s="41" t="n">
        <v>0.002</v>
      </c>
      <c r="I32" s="42">
        <f>C32*H32</f>
        <v/>
      </c>
      <c r="J32" s="34" t="inlineStr">
        <is>
          <t>Estimate</t>
        </is>
      </c>
      <c r="K32" s="34" t="inlineStr">
        <is>
          <t>-</t>
        </is>
      </c>
    </row>
    <row r="33" ht="15" customHeight="1" s="26">
      <c r="A33" s="31" t="n">
        <v>28</v>
      </c>
      <c r="B33" s="32" t="inlineStr">
        <is>
          <t>R15, R16</t>
        </is>
      </c>
      <c r="C33" s="31" t="n">
        <v>2</v>
      </c>
      <c r="D33" s="32" t="inlineStr">
        <is>
          <t>0402WGF2201TCE</t>
        </is>
      </c>
      <c r="E33" s="32" t="inlineStr">
        <is>
          <t>LCSC C25879 (JLC Basic)</t>
        </is>
      </c>
      <c r="F33" s="43" t="n">
        <v>0.002</v>
      </c>
      <c r="G33" s="44">
        <f>C33*F33</f>
        <v/>
      </c>
      <c r="H33" s="43" t="n">
        <v>0.002</v>
      </c>
      <c r="I33" s="44">
        <f>C33*H33</f>
        <v/>
      </c>
      <c r="J33" s="32" t="inlineStr">
        <is>
          <t>Estimate</t>
        </is>
      </c>
      <c r="K33" s="32" t="inlineStr">
        <is>
          <t>-</t>
        </is>
      </c>
    </row>
    <row r="34" ht="15" customHeight="1" s="26">
      <c r="A34" s="33" t="n">
        <v>29</v>
      </c>
      <c r="B34" s="34" t="inlineStr">
        <is>
          <t>R17, R18</t>
        </is>
      </c>
      <c r="C34" s="33" t="n">
        <v>2</v>
      </c>
      <c r="D34" s="34" t="inlineStr">
        <is>
          <t>0402WGF4701TCE</t>
        </is>
      </c>
      <c r="E34" s="34" t="inlineStr">
        <is>
          <t>LCSC C25900 (JLC Basic)</t>
        </is>
      </c>
      <c r="F34" s="41" t="n">
        <v>0.002</v>
      </c>
      <c r="G34" s="42">
        <f>C34*F34</f>
        <v/>
      </c>
      <c r="H34" s="41" t="n">
        <v>0.002</v>
      </c>
      <c r="I34" s="42">
        <f>C34*H34</f>
        <v/>
      </c>
      <c r="J34" s="34" t="inlineStr">
        <is>
          <t>Estimate</t>
        </is>
      </c>
      <c r="K34" s="34" t="inlineStr">
        <is>
          <t>-</t>
        </is>
      </c>
    </row>
    <row r="35" ht="23.85" customHeight="1" s="26">
      <c r="A35" s="31" t="n">
        <v>30</v>
      </c>
      <c r="B35" s="32" t="inlineStr">
        <is>
          <t>R20, R21, R22, R23, R24, R25, R26, R27, R28</t>
        </is>
      </c>
      <c r="C35" s="31" t="n">
        <v>9</v>
      </c>
      <c r="D35" s="32" t="inlineStr">
        <is>
          <t>0402WGF1000TCE</t>
        </is>
      </c>
      <c r="E35" s="32" t="inlineStr">
        <is>
          <t>LCSC C25076 (JLC Basic)</t>
        </is>
      </c>
      <c r="F35" s="43" t="n">
        <v>0.002</v>
      </c>
      <c r="G35" s="44">
        <f>C35*F35</f>
        <v/>
      </c>
      <c r="H35" s="43" t="n">
        <v>0.002</v>
      </c>
      <c r="I35" s="44">
        <f>C35*H35</f>
        <v/>
      </c>
      <c r="J35" s="32" t="inlineStr">
        <is>
          <t>Estimate</t>
        </is>
      </c>
      <c r="K35" s="32" t="inlineStr">
        <is>
          <t>-</t>
        </is>
      </c>
    </row>
    <row r="36" ht="15" customHeight="1" s="26">
      <c r="A36" s="33" t="n">
        <v>31</v>
      </c>
      <c r="B36" s="34" t="inlineStr">
        <is>
          <t>R34</t>
        </is>
      </c>
      <c r="C36" s="33" t="n">
        <v>1</v>
      </c>
      <c r="D36" s="34" t="inlineStr">
        <is>
          <t>0402WGF0000TCE</t>
        </is>
      </c>
      <c r="E36" s="34" t="inlineStr">
        <is>
          <t>LCSC C17168 (JLC Basic)</t>
        </is>
      </c>
      <c r="F36" s="41" t="n">
        <v>0.002</v>
      </c>
      <c r="G36" s="42">
        <f>C36*F36</f>
        <v/>
      </c>
      <c r="H36" s="41" t="n">
        <v>0.002</v>
      </c>
      <c r="I36" s="42">
        <f>C36*H36</f>
        <v/>
      </c>
      <c r="J36" s="34" t="inlineStr">
        <is>
          <t>Estimate</t>
        </is>
      </c>
      <c r="K36" s="34" t="inlineStr">
        <is>
          <t>-</t>
        </is>
      </c>
    </row>
    <row r="37" ht="15" customHeight="1" s="26">
      <c r="A37" s="31" t="n">
        <v>32</v>
      </c>
      <c r="B37" s="32" t="inlineStr">
        <is>
          <t>R39</t>
        </is>
      </c>
      <c r="C37" s="31" t="n">
        <v>1</v>
      </c>
      <c r="D37" s="32" t="inlineStr">
        <is>
          <t>0402WGF330JTCE</t>
        </is>
      </c>
      <c r="E37" s="32" t="inlineStr">
        <is>
          <t>LCSC C25105 (JLC Basic)</t>
        </is>
      </c>
      <c r="F37" s="43" t="n">
        <v>0.002</v>
      </c>
      <c r="G37" s="44">
        <f>C37*F37</f>
        <v/>
      </c>
      <c r="H37" s="43" t="n">
        <v>0.002</v>
      </c>
      <c r="I37" s="44">
        <f>C37*H37</f>
        <v/>
      </c>
      <c r="J37" s="32" t="inlineStr">
        <is>
          <t>Estimate</t>
        </is>
      </c>
      <c r="K37" s="32" t="inlineStr">
        <is>
          <t>-</t>
        </is>
      </c>
    </row>
    <row r="38" ht="15" customHeight="1" s="26">
      <c r="A38" s="33" t="n">
        <v>33</v>
      </c>
      <c r="B38" s="34" t="inlineStr">
        <is>
          <t>R40</t>
        </is>
      </c>
      <c r="C38" s="33" t="n">
        <v>1</v>
      </c>
      <c r="D38" s="34" t="inlineStr">
        <is>
          <t>0402WGF4702TCE</t>
        </is>
      </c>
      <c r="E38" s="34" t="inlineStr">
        <is>
          <t>LCSC C25819 (JLC Basic)</t>
        </is>
      </c>
      <c r="F38" s="41" t="n">
        <v>0.002</v>
      </c>
      <c r="G38" s="42">
        <f>C38*F38</f>
        <v/>
      </c>
      <c r="H38" s="41" t="n">
        <v>0.002</v>
      </c>
      <c r="I38" s="42">
        <f>C38*H38</f>
        <v/>
      </c>
      <c r="J38" s="34" t="inlineStr">
        <is>
          <t>Estimate</t>
        </is>
      </c>
      <c r="K38" s="34" t="inlineStr">
        <is>
          <t>-</t>
        </is>
      </c>
    </row>
    <row r="39" ht="15" customHeight="1" s="26">
      <c r="A39" s="31" t="n">
        <v>34</v>
      </c>
      <c r="B39" s="32" t="inlineStr">
        <is>
          <t>R41</t>
        </is>
      </c>
      <c r="C39" s="31" t="n">
        <v>1</v>
      </c>
      <c r="D39" s="32" t="inlineStr">
        <is>
          <t>0402WGF1502TCE</t>
        </is>
      </c>
      <c r="E39" s="32" t="inlineStr">
        <is>
          <t>LCSC C25756 (JLC Basic)</t>
        </is>
      </c>
      <c r="F39" s="43" t="n">
        <v>0.002</v>
      </c>
      <c r="G39" s="44">
        <f>C39*F39</f>
        <v/>
      </c>
      <c r="H39" s="43" t="n">
        <v>0.002</v>
      </c>
      <c r="I39" s="44">
        <f>C39*H39</f>
        <v/>
      </c>
      <c r="J39" s="32" t="inlineStr">
        <is>
          <t>Estimate</t>
        </is>
      </c>
      <c r="K39" s="32" t="inlineStr">
        <is>
          <t>-</t>
        </is>
      </c>
    </row>
    <row r="40" ht="15" customHeight="1" s="26">
      <c r="A40" s="33" t="n">
        <v>35</v>
      </c>
      <c r="B40" s="34" t="inlineStr">
        <is>
          <t>R42</t>
        </is>
      </c>
      <c r="C40" s="33" t="n">
        <v>1</v>
      </c>
      <c r="D40" s="34" t="inlineStr">
        <is>
          <t>0402WGF1001TCE</t>
        </is>
      </c>
      <c r="E40" s="34" t="inlineStr">
        <is>
          <t>LCSC C11702 (JLC Basic)</t>
        </is>
      </c>
      <c r="F40" s="41" t="n">
        <v>0.002</v>
      </c>
      <c r="G40" s="42">
        <f>C40*F40</f>
        <v/>
      </c>
      <c r="H40" s="41" t="n">
        <v>0.002</v>
      </c>
      <c r="I40" s="42">
        <f>C40*H40</f>
        <v/>
      </c>
      <c r="J40" s="34" t="inlineStr">
        <is>
          <t>Estimate</t>
        </is>
      </c>
      <c r="K40" s="34" t="inlineStr">
        <is>
          <t>-</t>
        </is>
      </c>
    </row>
    <row r="41" ht="15" customHeight="1" s="26">
      <c r="A41" s="31" t="n">
        <v>36</v>
      </c>
      <c r="B41" s="32" t="inlineStr">
        <is>
          <t>R47</t>
        </is>
      </c>
      <c r="C41" s="31" t="n">
        <v>1</v>
      </c>
      <c r="D41" s="32" t="inlineStr">
        <is>
          <t>0402WGF4703TCE</t>
        </is>
      </c>
      <c r="E41" s="32" t="inlineStr">
        <is>
          <t>LCSC C25790 (JLC Basic)</t>
        </is>
      </c>
      <c r="F41" s="43" t="n">
        <v>0.002</v>
      </c>
      <c r="G41" s="44">
        <f>C41*F41</f>
        <v/>
      </c>
      <c r="H41" s="43" t="n">
        <v>0.002</v>
      </c>
      <c r="I41" s="44">
        <f>C41*H41</f>
        <v/>
      </c>
      <c r="J41" s="32" t="inlineStr">
        <is>
          <t>Estimate</t>
        </is>
      </c>
      <c r="K41" s="32" t="inlineStr">
        <is>
          <t>-</t>
        </is>
      </c>
    </row>
    <row r="42" ht="15" customHeight="1" s="26">
      <c r="A42" s="33" t="n">
        <v>37</v>
      </c>
      <c r="B42" s="34" t="inlineStr">
        <is>
          <t>R48</t>
        </is>
      </c>
      <c r="C42" s="33" t="n">
        <v>1</v>
      </c>
      <c r="D42" s="34" t="inlineStr">
        <is>
          <t>0402WGF2003TCE</t>
        </is>
      </c>
      <c r="E42" s="34" t="inlineStr">
        <is>
          <t>LCSC C25764 (JLC Basic)</t>
        </is>
      </c>
      <c r="F42" s="41" t="n">
        <v>0.002</v>
      </c>
      <c r="G42" s="42">
        <f>C42*F42</f>
        <v/>
      </c>
      <c r="H42" s="41" t="n">
        <v>0.002</v>
      </c>
      <c r="I42" s="42">
        <f>C42*H42</f>
        <v/>
      </c>
      <c r="J42" s="34" t="inlineStr">
        <is>
          <t>Estimate</t>
        </is>
      </c>
      <c r="K42" s="34" t="inlineStr">
        <is>
          <t>-</t>
        </is>
      </c>
    </row>
    <row r="43" ht="15" customHeight="1" s="26">
      <c r="A43" s="31" t="n">
        <v>38</v>
      </c>
      <c r="B43" s="32" t="inlineStr">
        <is>
          <t>U1</t>
        </is>
      </c>
      <c r="C43" s="31" t="n">
        <v>1</v>
      </c>
      <c r="D43" s="32" t="inlineStr">
        <is>
          <t>LSM6DSV16XTR</t>
        </is>
      </c>
      <c r="E43" s="32" t="inlineStr">
        <is>
          <t>LCSC C5267406</t>
        </is>
      </c>
      <c r="F43" s="43" t="n">
        <v>3.0014</v>
      </c>
      <c r="G43" s="44">
        <f>C43*F43</f>
        <v/>
      </c>
      <c r="H43" s="43" t="n">
        <v>2.4748</v>
      </c>
      <c r="I43" s="44">
        <f>C43*H43</f>
        <v/>
      </c>
      <c r="J43" s="32" t="inlineStr">
        <is>
          <t>Quote</t>
        </is>
      </c>
      <c r="K43" s="32" t="inlineStr">
        <is>
          <t>-</t>
        </is>
      </c>
    </row>
    <row r="44" ht="15" customHeight="1" s="26">
      <c r="A44" s="33" t="n">
        <v>39</v>
      </c>
      <c r="B44" s="34" t="inlineStr">
        <is>
          <t>U2</t>
        </is>
      </c>
      <c r="C44" s="33" t="n">
        <v>1</v>
      </c>
      <c r="D44" s="34" t="inlineStr">
        <is>
          <t>STM32WB55CGU6</t>
        </is>
      </c>
      <c r="E44" s="34" t="inlineStr">
        <is>
          <t>LCSC C404023</t>
        </is>
      </c>
      <c r="F44" s="41" t="n">
        <v>7.8102</v>
      </c>
      <c r="G44" s="42">
        <f>C44*F44</f>
        <v/>
      </c>
      <c r="H44" s="41" t="n">
        <v>5.8543</v>
      </c>
      <c r="I44" s="42">
        <f>C44*H44</f>
        <v/>
      </c>
      <c r="J44" s="34" t="inlineStr">
        <is>
          <t>Quote</t>
        </is>
      </c>
      <c r="K44" s="34" t="inlineStr">
        <is>
          <t>Mouser/DigiKey: 7.22 USD @10, 6.16-6.31 USD @100</t>
        </is>
      </c>
    </row>
    <row r="45" ht="15" customHeight="1" s="26">
      <c r="A45" s="31" t="n">
        <v>40</v>
      </c>
      <c r="B45" s="32" t="inlineStr">
        <is>
          <t>U3</t>
        </is>
      </c>
      <c r="C45" s="31" t="n">
        <v>1</v>
      </c>
      <c r="D45" s="32" t="inlineStr">
        <is>
          <t>IIS2MDCTR</t>
        </is>
      </c>
      <c r="E45" s="32" t="inlineStr">
        <is>
          <t>LCSC C2655002</t>
        </is>
      </c>
      <c r="F45" s="43" t="n">
        <v>3.6906</v>
      </c>
      <c r="G45" s="44">
        <f>C45*F45</f>
        <v/>
      </c>
      <c r="H45" s="43" t="n">
        <v>2.981</v>
      </c>
      <c r="I45" s="44">
        <f>C45*H45</f>
        <v/>
      </c>
      <c r="J45" s="32" t="inlineStr">
        <is>
          <t>Quote</t>
        </is>
      </c>
      <c r="K45" s="32" t="inlineStr">
        <is>
          <t>-</t>
        </is>
      </c>
    </row>
    <row r="46" ht="23.85" customHeight="1" s="26">
      <c r="A46" s="33" t="n">
        <v>41</v>
      </c>
      <c r="B46" s="34" t="inlineStr">
        <is>
          <t>U4</t>
        </is>
      </c>
      <c r="C46" s="33" t="n">
        <v>1</v>
      </c>
      <c r="D46" s="34" t="inlineStr">
        <is>
          <t>LPS22HBTR</t>
        </is>
      </c>
      <c r="E46" s="34" t="inlineStr">
        <is>
          <t>LCSC C94049</t>
        </is>
      </c>
      <c r="F46" s="41" t="n">
        <v>2.6466</v>
      </c>
      <c r="G46" s="42">
        <f>C46*F46</f>
        <v/>
      </c>
      <c r="H46" s="41" t="n">
        <v>2.0382</v>
      </c>
      <c r="I46" s="42">
        <f>C46*H46</f>
        <v/>
      </c>
      <c r="J46" s="34" t="inlineStr">
        <is>
          <t>Quote</t>
        </is>
      </c>
      <c r="K46" s="34" t="inlineStr">
        <is>
          <t>Out of stock at LCSC: reference price; buy where you found stock</t>
        </is>
      </c>
    </row>
    <row r="47" ht="15" customHeight="1" s="26">
      <c r="A47" s="31" t="n">
        <v>42</v>
      </c>
      <c r="B47" s="32" t="inlineStr">
        <is>
          <t>U5</t>
        </is>
      </c>
      <c r="C47" s="31" t="n">
        <v>1</v>
      </c>
      <c r="D47" s="32" t="inlineStr">
        <is>
          <t>LD39130SPUR</t>
        </is>
      </c>
      <c r="E47" s="32" t="inlineStr">
        <is>
          <t>LCSC C2798213</t>
        </is>
      </c>
      <c r="F47" s="43" t="n">
        <v>0.6</v>
      </c>
      <c r="G47" s="44">
        <f>C47*F47</f>
        <v/>
      </c>
      <c r="H47" s="43" t="n">
        <v>0.48</v>
      </c>
      <c r="I47" s="44">
        <f>C47*H47</f>
        <v/>
      </c>
      <c r="J47" s="32" t="inlineStr">
        <is>
          <t>Estimate</t>
        </is>
      </c>
      <c r="K47" s="32" t="inlineStr">
        <is>
          <t>-</t>
        </is>
      </c>
    </row>
    <row r="48" ht="15" customHeight="1" s="26">
      <c r="A48" s="33" t="n">
        <v>43</v>
      </c>
      <c r="B48" s="34" t="inlineStr">
        <is>
          <t>U7</t>
        </is>
      </c>
      <c r="C48" s="33" t="n">
        <v>1</v>
      </c>
      <c r="D48" s="34" t="inlineStr">
        <is>
          <t>USBLC6-2SC6</t>
        </is>
      </c>
      <c r="E48" s="34" t="inlineStr">
        <is>
          <t>LCSC C7519</t>
        </is>
      </c>
      <c r="F48" s="41" t="n">
        <v>0.1786</v>
      </c>
      <c r="G48" s="42">
        <f>C48*F48</f>
        <v/>
      </c>
      <c r="H48" s="41" t="n">
        <v>0.1375</v>
      </c>
      <c r="I48" s="42">
        <f>C48*H48</f>
        <v/>
      </c>
      <c r="J48" s="34" t="inlineStr">
        <is>
          <t>Quote</t>
        </is>
      </c>
      <c r="K48" s="34" t="inlineStr">
        <is>
          <t>MOQ 5 pcs</t>
        </is>
      </c>
    </row>
    <row r="49" ht="15" customHeight="1" s="26">
      <c r="A49" s="31" t="n">
        <v>44</v>
      </c>
      <c r="B49" s="32" t="inlineStr">
        <is>
          <t>U8</t>
        </is>
      </c>
      <c r="C49" s="31" t="n">
        <v>1</v>
      </c>
      <c r="D49" s="32" t="inlineStr">
        <is>
          <t>MLPF-WB55-01E3</t>
        </is>
      </c>
      <c r="E49" s="32" t="inlineStr">
        <is>
          <t>LCSC C2651048</t>
        </is>
      </c>
      <c r="F49" s="43" t="n">
        <v>0.368</v>
      </c>
      <c r="G49" s="44">
        <f>C49*F49</f>
        <v/>
      </c>
      <c r="H49" s="43" t="n">
        <v>0.2711</v>
      </c>
      <c r="I49" s="44">
        <f>C49*H49</f>
        <v/>
      </c>
      <c r="J49" s="32" t="inlineStr">
        <is>
          <t>Quote</t>
        </is>
      </c>
      <c r="K49" s="32" t="inlineStr">
        <is>
          <t>-</t>
        </is>
      </c>
    </row>
    <row r="50" ht="15" customHeight="1" s="26">
      <c r="A50" s="33" t="n">
        <v>45</v>
      </c>
      <c r="B50" s="34" t="inlineStr">
        <is>
          <t>U10</t>
        </is>
      </c>
      <c r="C50" s="33" t="n">
        <v>1</v>
      </c>
      <c r="D50" s="34" t="inlineStr">
        <is>
          <t>W25Q128JVPIQ</t>
        </is>
      </c>
      <c r="E50" s="34" t="inlineStr">
        <is>
          <t>LCSC C190862</t>
        </is>
      </c>
      <c r="F50" s="41" t="n">
        <v>1.6</v>
      </c>
      <c r="G50" s="42">
        <f>C50*F50</f>
        <v/>
      </c>
      <c r="H50" s="41" t="n">
        <v>1.3</v>
      </c>
      <c r="I50" s="42">
        <f>C50*H50</f>
        <v/>
      </c>
      <c r="J50" s="34" t="inlineStr">
        <is>
          <t>Estimate</t>
        </is>
      </c>
      <c r="K50" s="34" t="inlineStr">
        <is>
          <t>16 MB log flash, price estimated</t>
        </is>
      </c>
    </row>
    <row r="51" ht="15" customHeight="1" s="26">
      <c r="A51" s="31" t="n">
        <v>46</v>
      </c>
      <c r="B51" s="32" t="inlineStr">
        <is>
          <t>U11</t>
        </is>
      </c>
      <c r="C51" s="31" t="n">
        <v>1</v>
      </c>
      <c r="D51" s="32" t="inlineStr">
        <is>
          <t>LDK130PU-R</t>
        </is>
      </c>
      <c r="E51" s="32" t="inlineStr">
        <is>
          <t>LCSC C157446</t>
        </is>
      </c>
      <c r="F51" s="43" t="n">
        <v>0.4186</v>
      </c>
      <c r="G51" s="44">
        <f>C51*F51</f>
        <v/>
      </c>
      <c r="H51" s="43" t="n">
        <v>0.3181</v>
      </c>
      <c r="I51" s="44">
        <f>C51*H51</f>
        <v/>
      </c>
      <c r="J51" s="32" t="inlineStr">
        <is>
          <t>Quote</t>
        </is>
      </c>
      <c r="K51" s="32" t="inlineStr">
        <is>
          <t>1,162 in stock on 2026-10-17</t>
        </is>
      </c>
    </row>
    <row r="52" ht="15" customHeight="1" s="26">
      <c r="A52" s="33" t="n">
        <v>47</v>
      </c>
      <c r="B52" s="34" t="inlineStr">
        <is>
          <t>U12</t>
        </is>
      </c>
      <c r="C52" s="33" t="n">
        <v>1</v>
      </c>
      <c r="D52" s="34" t="inlineStr">
        <is>
          <t>LM5166DRCT</t>
        </is>
      </c>
      <c r="E52" s="34" t="inlineStr">
        <is>
          <t>LCSC C181495</t>
        </is>
      </c>
      <c r="F52" s="41" t="n">
        <v>3.6923</v>
      </c>
      <c r="G52" s="42">
        <f>C52*F52</f>
        <v/>
      </c>
      <c r="H52" s="41" t="n">
        <v>3.3626</v>
      </c>
      <c r="I52" s="42">
        <f>C52*H52</f>
        <v/>
      </c>
      <c r="J52" s="34" t="inlineStr">
        <is>
          <t>Quote</t>
        </is>
      </c>
      <c r="K52" s="34" t="inlineStr">
        <is>
          <t>350 in stock on 2026-10-18 (30+ tier used for 100 boards)</t>
        </is>
      </c>
    </row>
    <row r="53" ht="23.85" customHeight="1" s="26">
      <c r="A53" s="31" t="n">
        <v>48</v>
      </c>
      <c r="B53" s="32" t="inlineStr">
        <is>
          <t>Y1</t>
        </is>
      </c>
      <c r="C53" s="31" t="n">
        <v>1</v>
      </c>
      <c r="D53" s="32" t="inlineStr">
        <is>
          <t>NX2016SA-32MHZ-STD-CZS-5</t>
        </is>
      </c>
      <c r="E53" s="32" t="inlineStr">
        <is>
          <t>LCSC C843260</t>
        </is>
      </c>
      <c r="F53" s="43" t="n">
        <v>0.3534</v>
      </c>
      <c r="G53" s="44">
        <f>C53*F53</f>
        <v/>
      </c>
      <c r="H53" s="43" t="n">
        <v>0.3534</v>
      </c>
      <c r="I53" s="44">
        <f>C53*H53</f>
        <v/>
      </c>
      <c r="J53" s="32" t="inlineStr">
        <is>
          <t>Quote</t>
        </is>
      </c>
      <c r="K53" s="32" t="inlineStr">
        <is>
          <t>NDK 32 MHz 8 pF +-10 ppm</t>
        </is>
      </c>
    </row>
    <row r="54" ht="15" customHeight="1" s="26">
      <c r="A54" s="29" t="n"/>
      <c r="B54" s="29" t="n"/>
      <c r="C54" s="29" t="n"/>
      <c r="D54" s="29" t="n"/>
      <c r="E54" s="29" t="n"/>
      <c r="F54" s="29" t="n"/>
      <c r="G54" s="29" t="n"/>
      <c r="H54" s="29" t="n"/>
      <c r="I54" s="29" t="n"/>
      <c r="J54" s="29" t="n"/>
      <c r="K54" s="29" t="n"/>
    </row>
    <row r="55" ht="15" customHeight="1" s="26">
      <c r="A55" s="45" t="n"/>
      <c r="B55" s="46" t="inlineStr">
        <is>
          <t>Components per board (USD)</t>
        </is>
      </c>
      <c r="C55" s="47">
        <f>SUM(C6:C53)</f>
        <v/>
      </c>
      <c r="D55" s="45" t="inlineStr">
        <is>
          <t>placements</t>
        </is>
      </c>
      <c r="E55" s="45" t="n"/>
      <c r="F55" s="45" t="n"/>
      <c r="G55" s="48">
        <f>SUM(G6:G53)</f>
        <v/>
      </c>
      <c r="H55" s="45" t="n"/>
      <c r="I55" s="48">
        <f>SUM(I6:I53)</f>
        <v/>
      </c>
      <c r="J55" s="45" t="n"/>
      <c r="K55" s="45" t="inlineStr">
        <is>
          <t>Sum of the cost per board</t>
        </is>
      </c>
    </row>
    <row r="56" ht="15" customHeight="1" s="26">
      <c r="A56" s="45" t="n"/>
      <c r="B56" s="45" t="inlineStr">
        <is>
          <t>Components per board (EUR)</t>
        </is>
      </c>
      <c r="C56" s="47" t="n"/>
      <c r="D56" s="45" t="n"/>
      <c r="E56" s="45" t="n"/>
      <c r="F56" s="45" t="n"/>
      <c r="G56" s="49">
        <f>G55*C3</f>
        <v/>
      </c>
      <c r="H56" s="45" t="n"/>
      <c r="I56" s="49">
        <f>I55*C3</f>
        <v/>
      </c>
      <c r="J56" s="45" t="n"/>
      <c r="K56" s="45" t="inlineStr">
        <is>
          <t>At the exchange rate in C3</t>
        </is>
      </c>
    </row>
    <row r="57" ht="15" customHeight="1" s="26">
      <c r="A57" s="45" t="n"/>
      <c r="B57" s="45" t="inlineStr">
        <is>
          <t>Whole batch (USD)</t>
        </is>
      </c>
      <c r="C57" s="47" t="n"/>
      <c r="D57" s="45" t="n"/>
      <c r="E57" s="45" t="n"/>
      <c r="F57" s="45" t="n"/>
      <c r="G57" s="49">
        <f>G55*10</f>
        <v/>
      </c>
      <c r="H57" s="45" t="n"/>
      <c r="I57" s="49">
        <f>I55*100</f>
        <v/>
      </c>
      <c r="J57" s="45" t="n"/>
      <c r="K57" s="45" t="inlineStr">
        <is>
          <t>10 boards / 100 boards</t>
        </is>
      </c>
    </row>
    <row r="58" ht="23.85" customHeight="1" s="26">
      <c r="A58" s="45" t="n"/>
      <c r="B58" s="45" t="inlineStr">
        <is>
          <t>Share of U2 + sensors (U1, U3, U4)</t>
        </is>
      </c>
      <c r="C58" s="47" t="n"/>
      <c r="D58" s="45" t="n"/>
      <c r="E58" s="45" t="n"/>
      <c r="F58" s="45" t="n"/>
      <c r="G58" s="50">
        <f>(G44+G43+G45+G46)/G55</f>
        <v/>
      </c>
      <c r="H58" s="45" t="n"/>
      <c r="I58" s="50">
        <f>(I44+I43+I45+I46)/I55</f>
        <v/>
      </c>
      <c r="J58" s="45" t="n"/>
      <c r="K58" s="45" t="inlineStr">
        <is>
          <t>MCU and MEMS sensors</t>
        </is>
      </c>
    </row>
    <row r="59" ht="15" customHeight="1" s="26">
      <c r="A59" s="29" t="n"/>
      <c r="B59" s="29" t="n"/>
      <c r="C59" s="29" t="n"/>
      <c r="D59" s="29" t="n"/>
      <c r="E59" s="29" t="n"/>
      <c r="F59" s="29" t="n"/>
      <c r="G59" s="29" t="n"/>
      <c r="H59" s="29" t="n"/>
      <c r="I59" s="29" t="n"/>
      <c r="J59" s="29" t="n"/>
      <c r="K59" s="29" t="n"/>
    </row>
    <row r="60" ht="15" customHeight="1" s="26">
      <c r="A60" s="28" t="inlineStr">
        <is>
          <t>Not included: C36 (DNP), pads/holes (PCB features), the ESC / power board and its cable, grommets. JLCPCB PCBA adds a setup fee per unique "extended" part (most ICs here) on top of the component price.</t>
        </is>
      </c>
    </row>
  </sheetData>
  <mergeCells count="3">
    <mergeCell ref="A2:K2"/>
    <mergeCell ref="A1:K1"/>
    <mergeCell ref="A60:K60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2026-10-18T20:19:06Z</dcterms:created>
  <dcterms:modified xmlns:dcterms="http://purl.org/dc/terms/" xmlns:xsi="http://www.w3.org/2001/XMLSchema-instance" xsi:type="dcterms:W3CDTF">2026-10-19T14:35:24Z</dcterms:modified>
  <cp:revision>0</cp:revision>
</cp:coreProperties>
</file>